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BOM" sheetId="3" state="visible" r:id="rId3"/>
    <sheet xmlns:r="http://schemas.openxmlformats.org/officeDocument/2006/relationships" name="Prices" sheetId="4" state="visible" r:id="rId4"/>
    <sheet xmlns:r="http://schemas.openxmlformats.org/officeDocument/2006/relationships" name="Risks" sheetId="5" state="visible" r:id="rId5"/>
  </sheets>
  <definedNames>
    <definedName name="_xlnm._FilterDatabase" localSheetId="2" hidden="1">'BOM'!$A$1:$M$51</definedName>
    <definedName name="_xlnm._FilterDatabase" localSheetId="3" hidden="1">'Prices'!$A$1:$AA$103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$#,##0.00;($#,##0.00);&quot;-&quot;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FFFFFF"/>
    </font>
    <font>
      <name val="Arial"/>
      <color rgb="000563C1"/>
      <u val="single"/>
    </font>
    <font>
      <name val="Arial"/>
      <i val="1"/>
    </font>
    <font>
      <name val="Arial"/>
      <color rgb="0000800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A5F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5" fillId="3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9" fontId="3" fillId="2" borderId="0" pivotButton="0" quotePrefix="0" xfId="0"/>
    <xf numFmtId="0" fontId="3" fillId="2" borderId="0" pivotButton="0" quotePrefix="0" xfId="0"/>
    <xf numFmtId="0" fontId="5" fillId="3" borderId="0" applyAlignment="1" pivotButton="0" quotePrefix="0" xfId="0">
      <alignment vertical="center" wrapText="1"/>
    </xf>
    <xf numFmtId="0" fontId="3" fillId="0" borderId="0" pivotButton="0" quotePrefix="0" xfId="0"/>
    <xf numFmtId="165" fontId="4" fillId="0" borderId="0" pivotButton="0" quotePrefix="0" xfId="0"/>
    <xf numFmtId="164" fontId="3" fillId="0" borderId="0" pivotButton="0" quotePrefix="0" xfId="0"/>
    <xf numFmtId="0" fontId="6" fillId="0" borderId="0" pivotButton="0" quotePrefix="0" xfId="0"/>
    <xf numFmtId="0" fontId="2" fillId="4" borderId="0" pivotButton="0" quotePrefix="0" xfId="0"/>
    <xf numFmtId="0" fontId="3" fillId="4" borderId="0" pivotButton="0" quotePrefix="0" xfId="0"/>
    <xf numFmtId="164" fontId="3" fillId="4" borderId="0" pivotButton="0" quotePrefix="0" xfId="0"/>
    <xf numFmtId="0" fontId="6" fillId="4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au.mouser.com/c/?q=CD74HCT00E" TargetMode="External" Id="rId1"/><Relationship Type="http://schemas.openxmlformats.org/officeDocument/2006/relationships/hyperlink" Target="https://www.wiltronics.com.au/product/317/74hct00-quad-2-input-nand-gate-4/" TargetMode="External" Id="rId2"/><Relationship Type="http://schemas.openxmlformats.org/officeDocument/2006/relationships/hyperlink" Target="https://au.mouser.com/c/?q=CD74HCT02E" TargetMode="External" Id="rId3"/><Relationship Type="http://schemas.openxmlformats.org/officeDocument/2006/relationships/hyperlink" Target="https://www.wiltronics.com.au/product/3759/74hct02-quad-2-input-positive-nor-gate/" TargetMode="External" Id="rId4"/><Relationship Type="http://schemas.openxmlformats.org/officeDocument/2006/relationships/hyperlink" Target="https://au.mouser.com/c/?q=CD74HCT04E" TargetMode="External" Id="rId5"/><Relationship Type="http://schemas.openxmlformats.org/officeDocument/2006/relationships/hyperlink" Target="https://www.wiltronics.com.au/product/320/74hct04-hex-inverter-3/" TargetMode="External" Id="rId6"/><Relationship Type="http://schemas.openxmlformats.org/officeDocument/2006/relationships/hyperlink" Target="https://core-electronics.com.au/74hct08-quad-2-input-and-gate.html" TargetMode="External" Id="rId7"/><Relationship Type="http://schemas.openxmlformats.org/officeDocument/2006/relationships/hyperlink" Target="https://au.mouser.com/c/?q=CD74HCT08E" TargetMode="External" Id="rId8"/><Relationship Type="http://schemas.openxmlformats.org/officeDocument/2006/relationships/hyperlink" Target="https://au.element14.com/w/search?st=SN74HCT08N" TargetMode="External" Id="rId9"/><Relationship Type="http://schemas.openxmlformats.org/officeDocument/2006/relationships/hyperlink" Target="https://au.mouser.com/c/?q=CD74HCT32E" TargetMode="External" Id="rId10"/><Relationship Type="http://schemas.openxmlformats.org/officeDocument/2006/relationships/hyperlink" Target="https://wiltronics.com.au/?p=335" TargetMode="External" Id="rId11"/><Relationship Type="http://schemas.openxmlformats.org/officeDocument/2006/relationships/hyperlink" Target="https://au.element14.com/w/search?st=SN74HCT32N" TargetMode="External" Id="rId12"/><Relationship Type="http://schemas.openxmlformats.org/officeDocument/2006/relationships/hyperlink" Target="https://au.mouser.com/c/?q=CD74HCT86E" TargetMode="External" Id="rId13"/><Relationship Type="http://schemas.openxmlformats.org/officeDocument/2006/relationships/hyperlink" Target="https://au.element14.com/w/search?st=CD74HCT86E" TargetMode="External" Id="rId14"/><Relationship Type="http://schemas.openxmlformats.org/officeDocument/2006/relationships/hyperlink" Target="https://au.mouser.com/ProductDetail/595-CD74HCT107E" TargetMode="External" Id="rId15"/><Relationship Type="http://schemas.openxmlformats.org/officeDocument/2006/relationships/hyperlink" Target="https://au.element14.com/w/search?st=CD74HCT107E" TargetMode="External" Id="rId16"/><Relationship Type="http://schemas.openxmlformats.org/officeDocument/2006/relationships/hyperlink" Target="https://au.mouser.com/c/?q=CD74HCT138E" TargetMode="External" Id="rId17"/><Relationship Type="http://schemas.openxmlformats.org/officeDocument/2006/relationships/hyperlink" Target="https://www.wiltronics.com.au/product/321/74hct138-expandable-38-decoder-2/" TargetMode="External" Id="rId18"/><Relationship Type="http://schemas.openxmlformats.org/officeDocument/2006/relationships/hyperlink" Target="https://au.mouser.com/c/?q=CD74HCT139E" TargetMode="External" Id="rId19"/><Relationship Type="http://schemas.openxmlformats.org/officeDocument/2006/relationships/hyperlink" Target="https://au.element14.com/w/search?st=CD74HCT139E" TargetMode="External" Id="rId20"/><Relationship Type="http://schemas.openxmlformats.org/officeDocument/2006/relationships/hyperlink" Target="https://au.mouser.com/c/?q=CD74HCT157E" TargetMode="External" Id="rId21"/><Relationship Type="http://schemas.openxmlformats.org/officeDocument/2006/relationships/hyperlink" Target="https://au.element14.com/w/search?st=SN74HCT157N" TargetMode="External" Id="rId22"/><Relationship Type="http://schemas.openxmlformats.org/officeDocument/2006/relationships/hyperlink" Target="https://au.mouser.com/c/?q=CD74HCT161E" TargetMode="External" Id="rId23"/><Relationship Type="http://schemas.openxmlformats.org/officeDocument/2006/relationships/hyperlink" Target="https://au.element14.com/w/search?st=CD74HCT161E" TargetMode="External" Id="rId24"/><Relationship Type="http://schemas.openxmlformats.org/officeDocument/2006/relationships/hyperlink" Target="https://au.mouser.com/c/?q=CD74HCT173E" TargetMode="External" Id="rId25"/><Relationship Type="http://schemas.openxmlformats.org/officeDocument/2006/relationships/hyperlink" Target="https://www.wiltronics.com.au/product/329/74hct173-tri-state-quad-d-flipflop/" TargetMode="External" Id="rId26"/><Relationship Type="http://schemas.openxmlformats.org/officeDocument/2006/relationships/hyperlink" Target="https://au.mouser.com/c/?q=CD74HCT174E" TargetMode="External" Id="rId27"/><Relationship Type="http://schemas.openxmlformats.org/officeDocument/2006/relationships/hyperlink" Target="https://au.element14.com/w/search?st=CD74HCT174E" TargetMode="External" Id="rId28"/><Relationship Type="http://schemas.openxmlformats.org/officeDocument/2006/relationships/hyperlink" Target="https://au.mouser.com/ProductDetail/595-CD74HCT245E" TargetMode="External" Id="rId29"/><Relationship Type="http://schemas.openxmlformats.org/officeDocument/2006/relationships/hyperlink" Target="https://au.element14.com/w/search?st=SN74HCT245N" TargetMode="External" Id="rId30"/><Relationship Type="http://schemas.openxmlformats.org/officeDocument/2006/relationships/hyperlink" Target="https://au.mouser.com/c/?q=74HCT283" TargetMode="External" Id="rId31"/><Relationship Type="http://schemas.openxmlformats.org/officeDocument/2006/relationships/hyperlink" Target="https://au.mouser.com/ProductDetail/595-CD74HC283E" TargetMode="External" Id="rId32"/><Relationship Type="http://schemas.openxmlformats.org/officeDocument/2006/relationships/hyperlink" Target="https://au.element14.com/w/search?st=CD74HC283E" TargetMode="External" Id="rId33"/><Relationship Type="http://schemas.openxmlformats.org/officeDocument/2006/relationships/hyperlink" Target="https://au.mouser.com/c/?q=74HCT377" TargetMode="External" Id="rId34"/><Relationship Type="http://schemas.openxmlformats.org/officeDocument/2006/relationships/hyperlink" Target="https://au.element14.com/w/search?st=CD74HCT377E" TargetMode="External" Id="rId35"/><Relationship Type="http://schemas.openxmlformats.org/officeDocument/2006/relationships/hyperlink" Target="https://core-electronics.com.au/555-timer-general-purpose-timer-ic.html" TargetMode="External" Id="rId36"/><Relationship Type="http://schemas.openxmlformats.org/officeDocument/2006/relationships/hyperlink" Target="https://au.mouser.com/en/ProductDetail/Texas-Instruments/NE555P?qs=rkhjVJ6%2F3EIf4CWgjIKuKQ%3D%3D" TargetMode="External" Id="rId37"/><Relationship Type="http://schemas.openxmlformats.org/officeDocument/2006/relationships/hyperlink" Target="https://au.mouser.com/ProductDetail/913-AS6C62256-55PCN" TargetMode="External" Id="rId38"/><Relationship Type="http://schemas.openxmlformats.org/officeDocument/2006/relationships/hyperlink" Target="https://au.element14.com/alliance-memory-inc/as6c62256-55pcn/sram-256kbit-0-to-70deg-c-dip/dp/4260906" TargetMode="External" Id="rId39"/><Relationship Type="http://schemas.openxmlformats.org/officeDocument/2006/relationships/hyperlink" Target="https://au.mouser.com/ProductDetail/556-AT28C25615PU" TargetMode="External" Id="rId40"/><Relationship Type="http://schemas.openxmlformats.org/officeDocument/2006/relationships/hyperlink" Target="https://au.element14.com/microchip/at28c256-15pu/parallel-eeprom-256kbit-dip-28/dp/1095782" TargetMode="External" Id="rId41"/><Relationship Type="http://schemas.openxmlformats.org/officeDocument/2006/relationships/hyperlink" Target="https://au.mouser.com/c/?q=2N3906" TargetMode="External" Id="rId42"/><Relationship Type="http://schemas.openxmlformats.org/officeDocument/2006/relationships/hyperlink" Target="https://au.element14.com/w/search?st=2N3906BU" TargetMode="External" Id="rId43"/><Relationship Type="http://schemas.openxmlformats.org/officeDocument/2006/relationships/hyperlink" Target="https://au.mouser.com/c/?q=SA56-11EWA" TargetMode="External" Id="rId44"/><Relationship Type="http://schemas.openxmlformats.org/officeDocument/2006/relationships/hyperlink" Target="https://au.element14.com/w/search?st=SA56-11EWA" TargetMode="External" Id="rId45"/><Relationship Type="http://schemas.openxmlformats.org/officeDocument/2006/relationships/hyperlink" Target="https://core-electronics.com.au/led-basic-red-3mm.html" TargetMode="External" Id="rId46"/><Relationship Type="http://schemas.openxmlformats.org/officeDocument/2006/relationships/hyperlink" Target="https://au.element14.com/multicomp-pro/703-0090/led-3mm-red-100mcd-643nm/dp/2112100" TargetMode="External" Id="rId47"/><Relationship Type="http://schemas.openxmlformats.org/officeDocument/2006/relationships/hyperlink" Target="https://core-electronics.com.au/led-basic-green-3mm.html" TargetMode="External" Id="rId48"/><Relationship Type="http://schemas.openxmlformats.org/officeDocument/2006/relationships/hyperlink" Target="https://au.element14.com/multicomp/703-0087/led-green-3mm-572nm-standard/dp/2112096" TargetMode="External" Id="rId49"/><Relationship Type="http://schemas.openxmlformats.org/officeDocument/2006/relationships/hyperlink" Target="https://core-electronics.com.au/led-basic-yellow-3mm.html" TargetMode="External" Id="rId50"/><Relationship Type="http://schemas.openxmlformats.org/officeDocument/2006/relationships/hyperlink" Target="https://au.element14.com/multicomp-pro/703-0088/led-3mm-yellow-50mcd-590nm/dp/2112098" TargetMode="External" Id="rId51"/><Relationship Type="http://schemas.openxmlformats.org/officeDocument/2006/relationships/hyperlink" Target="https://core-electronics.com.au/diffused-blue-3mm-led-25-pack.html" TargetMode="External" Id="rId52"/><Relationship Type="http://schemas.openxmlformats.org/officeDocument/2006/relationships/hyperlink" Target="https://au.mouser.com/c/?q=WP710A10QBC" TargetMode="External" Id="rId53"/><Relationship Type="http://schemas.openxmlformats.org/officeDocument/2006/relationships/hyperlink" Target="https://core-electronics.com.au/through-hole-resistors-1-0k-ohm-5-1-4w-pack-of-25.html" TargetMode="External" Id="rId54"/><Relationship Type="http://schemas.openxmlformats.org/officeDocument/2006/relationships/hyperlink" Target="https://au.element14.com/multicomp-pro/mcf-0-25w-1k/res-1k-5-250mw-axial-carbon-film/dp/9339051" TargetMode="External" Id="rId55"/><Relationship Type="http://schemas.openxmlformats.org/officeDocument/2006/relationships/hyperlink" Target="https://au.mouser.com/c/?q=MFR-25FBF52-2K2" TargetMode="External" Id="rId56"/><Relationship Type="http://schemas.openxmlformats.org/officeDocument/2006/relationships/hyperlink" Target="https://au.element14.com/w/search?st=MFR-25FBF52-2K2" TargetMode="External" Id="rId57"/><Relationship Type="http://schemas.openxmlformats.org/officeDocument/2006/relationships/hyperlink" Target="https://core-electronics.com.au/resistor-10k-ohm-025-watt-pth.html" TargetMode="External" Id="rId58"/><Relationship Type="http://schemas.openxmlformats.org/officeDocument/2006/relationships/hyperlink" Target="https://au.element14.com/multicomp-pro/mcf-0-25w-10k/res-10k-5-250mw-axial-carbon-film/dp/9339060" TargetMode="External" Id="rId59"/><Relationship Type="http://schemas.openxmlformats.org/officeDocument/2006/relationships/hyperlink" Target="https://au.mouser.com/c/?q=MFR-25FBF52-100K" TargetMode="External" Id="rId60"/><Relationship Type="http://schemas.openxmlformats.org/officeDocument/2006/relationships/hyperlink" Target="https://au.element14.com/w/search?st=MFR-25FBF52-100K" TargetMode="External" Id="rId61"/><Relationship Type="http://schemas.openxmlformats.org/officeDocument/2006/relationships/hyperlink" Target="https://au.mouser.com/c/?q=MFR-25FBF52-470R" TargetMode="External" Id="rId62"/><Relationship Type="http://schemas.openxmlformats.org/officeDocument/2006/relationships/hyperlink" Target="https://au.element14.com/w/search?st=MFR-25FTE52-470R" TargetMode="External" Id="rId63"/><Relationship Type="http://schemas.openxmlformats.org/officeDocument/2006/relationships/hyperlink" Target="https://au.mouser.com/c/?q=4609X-101-103LF" TargetMode="External" Id="rId64"/><Relationship Type="http://schemas.openxmlformats.org/officeDocument/2006/relationships/hyperlink" Target="https://au.element14.com/w/search?st=4609X-101-103LF" TargetMode="External" Id="rId65"/><Relationship Type="http://schemas.openxmlformats.org/officeDocument/2006/relationships/hyperlink" Target="https://au.mouser.com/c/?q=4605X-101-103LF" TargetMode="External" Id="rId66"/><Relationship Type="http://schemas.openxmlformats.org/officeDocument/2006/relationships/hyperlink" Target="https://au.element14.com/w/search?st=4605X-101-103LF" TargetMode="External" Id="rId67"/><Relationship Type="http://schemas.openxmlformats.org/officeDocument/2006/relationships/hyperlink" Target="https://core-electronics.com.au/100nf-ceramic-disc-capacitor.html" TargetMode="External" Id="rId68"/><Relationship Type="http://schemas.openxmlformats.org/officeDocument/2006/relationships/hyperlink" Target="https://jaycar.com.au/p/RC5496" TargetMode="External" Id="rId69"/><Relationship Type="http://schemas.openxmlformats.org/officeDocument/2006/relationships/hyperlink" Target="https://au.mouser.com/c/?q=K103K15X7RF5TL2" TargetMode="External" Id="rId70"/><Relationship Type="http://schemas.openxmlformats.org/officeDocument/2006/relationships/hyperlink" Target="https://au.element14.com/w/search?st=K103K15X7RF5TL2" TargetMode="External" Id="rId71"/><Relationship Type="http://schemas.openxmlformats.org/officeDocument/2006/relationships/hyperlink" Target="https://core-electronics.com.au/radial-capacitor-1uf.html" TargetMode="External" Id="rId72"/><Relationship Type="http://schemas.openxmlformats.org/officeDocument/2006/relationships/hyperlink" Target="https://jaycar.com.au/p/RE6032" TargetMode="External" Id="rId73"/><Relationship Type="http://schemas.openxmlformats.org/officeDocument/2006/relationships/hyperlink" Target="https://core-electronics.com.au/electrolytic-decoupling-capacitors-10uf-25v.html" TargetMode="External" Id="rId74"/><Relationship Type="http://schemas.openxmlformats.org/officeDocument/2006/relationships/hyperlink" Target="https://jaycar.com.au/p/RE6066" TargetMode="External" Id="rId75"/><Relationship Type="http://schemas.openxmlformats.org/officeDocument/2006/relationships/hyperlink" Target="https://core-electronics.com.au/radial-capacitor-100uf.html" TargetMode="External" Id="rId76"/><Relationship Type="http://schemas.openxmlformats.org/officeDocument/2006/relationships/hyperlink" Target="https://jaycar.com.au/p/RE6130" TargetMode="External" Id="rId77"/><Relationship Type="http://schemas.openxmlformats.org/officeDocument/2006/relationships/hyperlink" Target="https://www.altronics.com.au/search/all/?sr=R2230" TargetMode="External" Id="rId78"/><Relationship Type="http://schemas.openxmlformats.org/officeDocument/2006/relationships/hyperlink" Target="https://jaycar.com.au/1m-ohm-linear-b-single-gang-16mm-potentiometer/p/RP7524" TargetMode="External" Id="rId79"/><Relationship Type="http://schemas.openxmlformats.org/officeDocument/2006/relationships/hyperlink" Target="https://core-electronics.com.au/male-pin-header-2-54mm-1x40.html" TargetMode="External" Id="rId80"/><Relationship Type="http://schemas.openxmlformats.org/officeDocument/2006/relationships/hyperlink" Target="https://au.mouser.com/ProductDetail/649-68000-103HLF" TargetMode="External" Id="rId81"/><Relationship Type="http://schemas.openxmlformats.org/officeDocument/2006/relationships/hyperlink" Target="https://core-electronics.com.au/tactile-button-switch-6mm-x-20-pack.html" TargetMode="External" Id="rId82"/><Relationship Type="http://schemas.openxmlformats.org/officeDocument/2006/relationships/hyperlink" Target="https://jaycar.com.au/p/SP0603" TargetMode="External" Id="rId83"/><Relationship Type="http://schemas.openxmlformats.org/officeDocument/2006/relationships/hyperlink" Target="https://core-electronics.com.au/breadboard-friendly-spdt-slide-switch.html" TargetMode="External" Id="rId84"/><Relationship Type="http://schemas.openxmlformats.org/officeDocument/2006/relationships/hyperlink" Target="https://jaycar.com.au/p/SS0834" TargetMode="External" Id="rId85"/><Relationship Type="http://schemas.openxmlformats.org/officeDocument/2006/relationships/hyperlink" Target="https://core-electronics.com.au/dip-switch-8-position.html" TargetMode="External" Id="rId86"/><Relationship Type="http://schemas.openxmlformats.org/officeDocument/2006/relationships/hyperlink" Target="https://jaycar.com.au/p/SM1024" TargetMode="External" Id="rId87"/><Relationship Type="http://schemas.openxmlformats.org/officeDocument/2006/relationships/hyperlink" Target="https://jaycar.com.au/p/SM1020" TargetMode="External" Id="rId88"/><Relationship Type="http://schemas.openxmlformats.org/officeDocument/2006/relationships/hyperlink" Target="https://www.wiltronics.com.au/product/3336/4-way-dil-switch/" TargetMode="External" Id="rId89"/><Relationship Type="http://schemas.openxmlformats.org/officeDocument/2006/relationships/hyperlink" Target="https://core-electronics.com.au/solderless-breadboard-830-tie-point-zy-102.html" TargetMode="External" Id="rId90"/><Relationship Type="http://schemas.openxmlformats.org/officeDocument/2006/relationships/hyperlink" Target="https://jaycar.com.au/p/PB8815" TargetMode="External" Id="rId91"/><Relationship Type="http://schemas.openxmlformats.org/officeDocument/2006/relationships/hyperlink" Target="https://www.altronics.com.au/product/w2430-solid-core-05mm-6-colour-hobby-wire-pack" TargetMode="External" Id="rId92"/><Relationship Type="http://schemas.openxmlformats.org/officeDocument/2006/relationships/hyperlink" Target="https://core-electronics.com.au/hook-up-wire-assortment-solid-core-22-awg.html" TargetMode="External" Id="rId93"/><Relationship Type="http://schemas.openxmlformats.org/officeDocument/2006/relationships/hyperlink" Target="https://core-electronics.com.au/catalog/product/view/sku/ADA4090" TargetMode="External" Id="rId94"/><Relationship Type="http://schemas.openxmlformats.org/officeDocument/2006/relationships/hyperlink" Target="https://au.rs-online.com/web/p/resettable-fuses/5176770" TargetMode="External" Id="rId95"/><Relationship Type="http://schemas.openxmlformats.org/officeDocument/2006/relationships/hyperlink" Target="https://au.element14.com/littelfuse/rxef110/polyswitch-radial-1-1a/dp/1345960" TargetMode="External" Id="rId96"/><Relationship Type="http://schemas.openxmlformats.org/officeDocument/2006/relationships/hyperlink" Target="https://core-electronics.com.au/raspberry-pi-4-official-power-supply-usb-c-5v-15w-white.html" TargetMode="External" Id="rId97"/><Relationship Type="http://schemas.openxmlformats.org/officeDocument/2006/relationships/hyperlink" Target="https://au.mouser.com/c/?q=raspberry%20pi%2015W%20USB-C%20power%20supply%20AU" TargetMode="External" Id="rId98"/><Relationship Type="http://schemas.openxmlformats.org/officeDocument/2006/relationships/hyperlink" Target="https://core-electronics.com.au/nano-v3-0-board.html" TargetMode="External" Id="rId99"/><Relationship Type="http://schemas.openxmlformats.org/officeDocument/2006/relationships/hyperlink" Target="https://jaycar.com.au/p/XC4414" TargetMode="External" Id="rId100"/><Relationship Type="http://schemas.openxmlformats.org/officeDocument/2006/relationships/hyperlink" Target="https://core-electronics.com.au/shift-register-8-bit-sn74hc595.html" TargetMode="External" Id="rId101"/><Relationship Type="http://schemas.openxmlformats.org/officeDocument/2006/relationships/hyperlink" Target="https://au.mouser.com/en/ProductDetail/Texas-Instruments/SN74HC595N?qs=IEl3ej0IqwBTHkYa8XPoMQ%3D%3D" TargetMode="External" Id="rId10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PC-2 breadboard kit: parts cost</t>
        </is>
      </c>
    </row>
    <row r="2">
      <c r="A2" s="2" t="inlineStr">
        <is>
          <t>AUD including GST, cheapest suitable source per line, prices checked 2026-10-24. Freight, PCBs and packaging not included.</t>
        </is>
      </c>
    </row>
    <row r="4">
      <c r="A4" s="3" t="inlineStr"/>
      <c r="B4" s="3" t="inlineStr">
        <is>
          <t>Tier 1</t>
        </is>
      </c>
      <c r="C4" s="3" t="inlineStr">
        <is>
          <t>Tier 2</t>
        </is>
      </c>
      <c r="D4" s="3" t="inlineStr">
        <is>
          <t>Tier 3</t>
        </is>
      </c>
    </row>
    <row r="5">
      <c r="A5" s="4" t="inlineStr">
        <is>
          <t>Kits bought</t>
        </is>
      </c>
      <c r="B5" s="5">
        <f>Assumptions!$B$4</f>
        <v/>
      </c>
      <c r="C5" s="5">
        <f>Assumptions!$B$5</f>
        <v/>
      </c>
      <c r="D5" s="5">
        <f>Assumptions!$B$6</f>
        <v/>
      </c>
    </row>
    <row r="6">
      <c r="A6" s="4" t="inlineStr">
        <is>
          <t>Parts cost per kit</t>
        </is>
      </c>
      <c r="B6" s="6">
        <f>BOM!H52</f>
        <v/>
      </c>
      <c r="C6" s="6">
        <f>BOM!I52</f>
        <v/>
      </c>
      <c r="D6" s="6">
        <f>BOM!J52</f>
        <v/>
      </c>
    </row>
    <row r="7">
      <c r="A7" s="4" t="inlineStr">
        <is>
          <t>Parts cost for the whole order</t>
        </is>
      </c>
      <c r="B7" s="7">
        <f>B6*B5</f>
        <v/>
      </c>
      <c r="C7" s="7">
        <f>C6*C5</f>
        <v/>
      </c>
      <c r="D7" s="7">
        <f>D6*D5</f>
        <v/>
      </c>
    </row>
    <row r="8">
      <c r="A8" s="4" t="inlineStr">
        <is>
          <t>Lines with one suitable source</t>
        </is>
      </c>
      <c r="B8" s="8">
        <f>COUNTIF(BOM!G2:G51,1)</f>
        <v/>
      </c>
    </row>
    <row r="9">
      <c r="A9" s="4" t="inlineStr">
        <is>
          <t>Lines with no price</t>
        </is>
      </c>
      <c r="B9" s="8">
        <f>COUNTIF(BOM!G2:G51,0)</f>
        <v/>
      </c>
    </row>
    <row r="11">
      <c r="A11" s="4" t="inlineStr">
        <is>
          <t>Cost by group (per kit)</t>
        </is>
      </c>
    </row>
    <row r="12">
      <c r="A12" s="3" t="inlineStr">
        <is>
          <t>Group</t>
        </is>
      </c>
      <c r="B12" s="3" t="inlineStr">
        <is>
          <t>Tier 1</t>
        </is>
      </c>
      <c r="C12" s="3" t="inlineStr">
        <is>
          <t>Tier 2</t>
        </is>
      </c>
      <c r="D12" s="3" t="inlineStr">
        <is>
          <t>Tier 3</t>
        </is>
      </c>
    </row>
    <row r="13">
      <c r="A13" s="8" t="inlineStr">
        <is>
          <t>Logic (74HCT)</t>
        </is>
      </c>
      <c r="B13" s="7">
        <f>SUMIFS(BOM!H2:H51,BOM!B2:B51,$A13)</f>
        <v/>
      </c>
      <c r="C13" s="7">
        <f>SUMIFS(BOM!I2:I51,BOM!B2:B51,$A13)</f>
        <v/>
      </c>
      <c r="D13" s="7">
        <f>SUMIFS(BOM!J2:J51,BOM!B2:B51,$A13)</f>
        <v/>
      </c>
    </row>
    <row r="14">
      <c r="A14" s="8" t="inlineStr">
        <is>
          <t>Timer</t>
        </is>
      </c>
      <c r="B14" s="7">
        <f>SUMIFS(BOM!H2:H51,BOM!B2:B51,$A14)</f>
        <v/>
      </c>
      <c r="C14" s="7">
        <f>SUMIFS(BOM!I2:I51,BOM!B2:B51,$A14)</f>
        <v/>
      </c>
      <c r="D14" s="7">
        <f>SUMIFS(BOM!J2:J51,BOM!B2:B51,$A14)</f>
        <v/>
      </c>
    </row>
    <row r="15">
      <c r="A15" s="8" t="inlineStr">
        <is>
          <t>Memory</t>
        </is>
      </c>
      <c r="B15" s="7">
        <f>SUMIFS(BOM!H2:H51,BOM!B2:B51,$A15)</f>
        <v/>
      </c>
      <c r="C15" s="7">
        <f>SUMIFS(BOM!I2:I51,BOM!B2:B51,$A15)</f>
        <v/>
      </c>
      <c r="D15" s="7">
        <f>SUMIFS(BOM!J2:J51,BOM!B2:B51,$A15)</f>
        <v/>
      </c>
    </row>
    <row r="16">
      <c r="A16" s="8" t="inlineStr">
        <is>
          <t>Semiconductors</t>
        </is>
      </c>
      <c r="B16" s="7">
        <f>SUMIFS(BOM!H2:H51,BOM!B2:B51,$A16)</f>
        <v/>
      </c>
      <c r="C16" s="7">
        <f>SUMIFS(BOM!I2:I51,BOM!B2:B51,$A16)</f>
        <v/>
      </c>
      <c r="D16" s="7">
        <f>SUMIFS(BOM!J2:J51,BOM!B2:B51,$A16)</f>
        <v/>
      </c>
    </row>
    <row r="17">
      <c r="A17" s="8" t="inlineStr">
        <is>
          <t>Display</t>
        </is>
      </c>
      <c r="B17" s="7">
        <f>SUMIFS(BOM!H2:H51,BOM!B2:B51,$A17)</f>
        <v/>
      </c>
      <c r="C17" s="7">
        <f>SUMIFS(BOM!I2:I51,BOM!B2:B51,$A17)</f>
        <v/>
      </c>
      <c r="D17" s="7">
        <f>SUMIFS(BOM!J2:J51,BOM!B2:B51,$A17)</f>
        <v/>
      </c>
    </row>
    <row r="18">
      <c r="A18" s="8" t="inlineStr">
        <is>
          <t>Indicators</t>
        </is>
      </c>
      <c r="B18" s="7">
        <f>SUMIFS(BOM!H2:H51,BOM!B2:B51,$A18)</f>
        <v/>
      </c>
      <c r="C18" s="7">
        <f>SUMIFS(BOM!I2:I51,BOM!B2:B51,$A18)</f>
        <v/>
      </c>
      <c r="D18" s="7">
        <f>SUMIFS(BOM!J2:J51,BOM!B2:B51,$A18)</f>
        <v/>
      </c>
    </row>
    <row r="19">
      <c r="A19" s="8" t="inlineStr">
        <is>
          <t>Resistors</t>
        </is>
      </c>
      <c r="B19" s="7">
        <f>SUMIFS(BOM!H2:H51,BOM!B2:B51,$A19)</f>
        <v/>
      </c>
      <c r="C19" s="7">
        <f>SUMIFS(BOM!I2:I51,BOM!B2:B51,$A19)</f>
        <v/>
      </c>
      <c r="D19" s="7">
        <f>SUMIFS(BOM!J2:J51,BOM!B2:B51,$A19)</f>
        <v/>
      </c>
    </row>
    <row r="20">
      <c r="A20" s="8" t="inlineStr">
        <is>
          <t>Capacitors</t>
        </is>
      </c>
      <c r="B20" s="7">
        <f>SUMIFS(BOM!H2:H51,BOM!B2:B51,$A20)</f>
        <v/>
      </c>
      <c r="C20" s="7">
        <f>SUMIFS(BOM!I2:I51,BOM!B2:B51,$A20)</f>
        <v/>
      </c>
      <c r="D20" s="7">
        <f>SUMIFS(BOM!J2:J51,BOM!B2:B51,$A20)</f>
        <v/>
      </c>
    </row>
    <row r="21">
      <c r="A21" s="8" t="inlineStr">
        <is>
          <t>Controls</t>
        </is>
      </c>
      <c r="B21" s="7">
        <f>SUMIFS(BOM!H2:H51,BOM!B2:B51,$A21)</f>
        <v/>
      </c>
      <c r="C21" s="7">
        <f>SUMIFS(BOM!I2:I51,BOM!B2:B51,$A21)</f>
        <v/>
      </c>
      <c r="D21" s="7">
        <f>SUMIFS(BOM!J2:J51,BOM!B2:B51,$A21)</f>
        <v/>
      </c>
    </row>
    <row r="22">
      <c r="A22" s="8" t="inlineStr">
        <is>
          <t>Switches</t>
        </is>
      </c>
      <c r="B22" s="7">
        <f>SUMIFS(BOM!H2:H51,BOM!B2:B51,$A22)</f>
        <v/>
      </c>
      <c r="C22" s="7">
        <f>SUMIFS(BOM!I2:I51,BOM!B2:B51,$A22)</f>
        <v/>
      </c>
      <c r="D22" s="7">
        <f>SUMIFS(BOM!J2:J51,BOM!B2:B51,$A22)</f>
        <v/>
      </c>
    </row>
    <row r="23">
      <c r="A23" s="8" t="inlineStr">
        <is>
          <t>Build</t>
        </is>
      </c>
      <c r="B23" s="7">
        <f>SUMIFS(BOM!H2:H51,BOM!B2:B51,$A23)</f>
        <v/>
      </c>
      <c r="C23" s="7">
        <f>SUMIFS(BOM!I2:I51,BOM!B2:B51,$A23)</f>
        <v/>
      </c>
      <c r="D23" s="7">
        <f>SUMIFS(BOM!J2:J51,BOM!B2:B51,$A23)</f>
        <v/>
      </c>
    </row>
    <row r="24">
      <c r="A24" s="8" t="inlineStr">
        <is>
          <t>Power</t>
        </is>
      </c>
      <c r="B24" s="7">
        <f>SUMIFS(BOM!H2:H51,BOM!B2:B51,$A24)</f>
        <v/>
      </c>
      <c r="C24" s="7">
        <f>SUMIFS(BOM!I2:I51,BOM!B2:B51,$A24)</f>
        <v/>
      </c>
      <c r="D24" s="7">
        <f>SUMIFS(BOM!J2:J51,BOM!B2:B51,$A24)</f>
        <v/>
      </c>
    </row>
    <row r="25">
      <c r="A25" s="8" t="inlineStr">
        <is>
          <t>Programmer</t>
        </is>
      </c>
      <c r="B25" s="7">
        <f>SUMIFS(BOM!H2:H51,BOM!B2:B51,$A25)</f>
        <v/>
      </c>
      <c r="C25" s="7">
        <f>SUMIFS(BOM!I2:I51,BOM!B2:B51,$A25)</f>
        <v/>
      </c>
      <c r="D25" s="7">
        <f>SUMIFS(BOM!J2:J51,BOM!B2:B51,$A25)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80" customWidth="1" min="3" max="3"/>
  </cols>
  <sheetData>
    <row r="1">
      <c r="A1" s="1" t="inlineStr">
        <is>
          <t>PC-2 kit costed BOM: assumptions</t>
        </is>
      </c>
    </row>
    <row r="3">
      <c r="A3" s="8" t="inlineStr">
        <is>
          <t>GST rate</t>
        </is>
      </c>
      <c r="B3" s="9" t="n">
        <v>0.1</v>
      </c>
      <c r="C3" s="8" t="inlineStr">
        <is>
          <t>Australian GST. Added to every price recorded as ex-GST.</t>
        </is>
      </c>
    </row>
    <row r="4">
      <c r="A4" s="8" t="inlineStr">
        <is>
          <t>Kits in tier 1</t>
        </is>
      </c>
      <c r="B4" s="10" t="n">
        <v>1</v>
      </c>
      <c r="C4" s="8" t="inlineStr">
        <is>
          <t>Buying for one kit (the prototype).</t>
        </is>
      </c>
    </row>
    <row r="5">
      <c r="A5" s="8" t="inlineStr">
        <is>
          <t>Kits in tier 2</t>
        </is>
      </c>
      <c r="B5" s="10" t="n">
        <v>10</v>
      </c>
      <c r="C5" s="8" t="inlineStr">
        <is>
          <t>A small first batch.</t>
        </is>
      </c>
    </row>
    <row r="6">
      <c r="A6" s="8" t="inlineStr">
        <is>
          <t>Kits in tier 3</t>
        </is>
      </c>
      <c r="B6" s="10" t="n">
        <v>100</v>
      </c>
      <c r="C6" s="8" t="inlineStr">
        <is>
          <t>A production batch.</t>
        </is>
      </c>
    </row>
    <row r="7">
      <c r="A7" s="8" t="inlineStr">
        <is>
          <t>Prices checked</t>
        </is>
      </c>
      <c r="B7" s="10" t="inlineStr">
        <is>
          <t>2026-10-24</t>
        </is>
      </c>
      <c r="C7" s="8" t="inlineStr">
        <is>
          <t>Every price was read from the supplier's product page on this date.</t>
        </is>
      </c>
    </row>
    <row r="10">
      <c r="A10" s="4" t="inlineStr">
        <is>
          <t>How costs are worked out</t>
        </is>
      </c>
    </row>
    <row r="11">
      <c r="A11" s="8" t="inlineStr">
        <is>
          <t>1. Each line's quantity per kit is multiplied by the kits in the tier, then rounded up to whole packs.</t>
        </is>
      </c>
    </row>
    <row r="12">
      <c r="A12" s="8" t="inlineStr">
        <is>
          <t>2. A supplier's quantity-break price is used only when the packs bought reach that break; otherwise the next lower price applies.</t>
        </is>
      </c>
    </row>
    <row r="13">
      <c r="A13" s="8" t="inlineStr">
        <is>
          <t>3. All prices are converted to AUD including GST.</t>
        </is>
      </c>
    </row>
    <row r="14">
      <c r="A14" s="8" t="inlineStr">
        <is>
          <t>4. For each line, the cheapest suitable source at each tier is chosen. Freight is not included.</t>
        </is>
      </c>
    </row>
    <row r="15">
      <c r="A15" s="8" t="inlineStr"/>
    </row>
    <row r="16">
      <c r="A16" s="4" t="inlineStr">
        <is>
          <t>GST assumptions to confirm</t>
        </is>
      </c>
    </row>
    <row r="17">
      <c r="A17" s="8" t="inlineStr">
        <is>
          <t>- Mouser Australia pages state no GST treatment; their prices are assumed ex-GST.</t>
        </is>
      </c>
    </row>
    <row r="18">
      <c r="A18" s="8" t="inlineStr">
        <is>
          <t>- Jaycar pages state no GST treatment; their prices are assumed GST-inclusive (retail).</t>
        </is>
      </c>
    </row>
    <row r="19">
      <c r="A19" s="8" t="inlineStr">
        <is>
          <t>- element14 and DigiKey list ex-GST prices; Core Electronics prices are recorded as each record's incl_gst flag says.</t>
        </is>
      </c>
    </row>
    <row r="20">
      <c r="A20" s="8" t="inlineStr"/>
    </row>
    <row r="21">
      <c r="A21" s="4" t="inlineStr">
        <is>
          <t>Not included</t>
        </is>
      </c>
    </row>
    <row r="22">
      <c r="A22" s="8" t="inlineStr">
        <is>
          <t>- PCBs, IC sockets, packaging, printed book, freight, merchant fees and labour.</t>
        </is>
      </c>
    </row>
    <row r="23">
      <c r="A23" s="8" t="inlineStr"/>
    </row>
    <row r="24">
      <c r="A24" s="4" t="inlineStr">
        <is>
          <t>Editing</t>
        </is>
      </c>
    </row>
    <row r="25">
      <c r="A25" s="8" t="inlineStr">
        <is>
          <t>- Yellow cells with blue text are inputs. Change them and every cost updates.</t>
        </is>
      </c>
    </row>
    <row r="26">
      <c r="A26" s="8" t="inlineStr">
        <is>
          <t>- On the Prices sheet, set Suitable to N to drop a source from costing.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34" customWidth="1" min="3" max="3"/>
    <col width="34" customWidth="1" min="4" max="4"/>
    <col width="8" customWidth="1" min="5" max="5"/>
    <col width="22" customWidth="1" min="6" max="6"/>
    <col width="9" customWidth="1" min="7" max="7"/>
    <col width="11" customWidth="1" min="8" max="8"/>
    <col width="11" customWidth="1" min="9" max="9"/>
    <col width="11" customWidth="1" min="10" max="10"/>
    <col width="18" customWidth="1" min="11" max="11"/>
    <col width="18" customWidth="1" min="12" max="12"/>
    <col width="14" customWidth="1" min="13" max="13"/>
  </cols>
  <sheetData>
    <row r="1">
      <c r="A1" s="11" t="inlineStr">
        <is>
          <t>ID</t>
        </is>
      </c>
      <c r="B1" s="11" t="inlineStr">
        <is>
          <t>Group</t>
        </is>
      </c>
      <c r="C1" s="11" t="inlineStr">
        <is>
          <t>Part</t>
        </is>
      </c>
      <c r="D1" s="11" t="inlineStr">
        <is>
          <t>Description</t>
        </is>
      </c>
      <c r="E1" s="11" t="inlineStr">
        <is>
          <t>Qty per kit</t>
        </is>
      </c>
      <c r="F1" s="11" t="inlineStr">
        <is>
          <t>Used in</t>
        </is>
      </c>
      <c r="G1" s="11" t="inlineStr">
        <is>
          <t>Suitable sources</t>
        </is>
      </c>
      <c r="H1" s="11" t="inlineStr">
        <is>
          <t>Cost per kit @T1</t>
        </is>
      </c>
      <c r="I1" s="11" t="inlineStr">
        <is>
          <t>Cost per kit @T2</t>
        </is>
      </c>
      <c r="J1" s="11" t="inlineStr">
        <is>
          <t>Cost per kit @T3</t>
        </is>
      </c>
      <c r="K1" s="11" t="inlineStr">
        <is>
          <t>Cheapest @T1</t>
        </is>
      </c>
      <c r="L1" s="11" t="inlineStr">
        <is>
          <t>Cheapest @T3</t>
        </is>
      </c>
      <c r="M1" s="11" t="inlineStr">
        <is>
          <t>Flag</t>
        </is>
      </c>
    </row>
    <row r="2">
      <c r="A2" s="8" t="inlineStr">
        <is>
          <t>H00</t>
        </is>
      </c>
      <c r="B2" s="8" t="inlineStr">
        <is>
          <t>Logic (74HCT)</t>
        </is>
      </c>
      <c r="C2" s="8" t="inlineStr">
        <is>
          <t>74HCT00</t>
        </is>
      </c>
      <c r="D2" s="8" t="inlineStr">
        <is>
          <t>Quad NAND, DIP-14</t>
        </is>
      </c>
      <c r="E2" s="12" t="n">
        <v>1</v>
      </c>
      <c r="F2" s="8" t="inlineStr">
        <is>
          <t>see netlist</t>
        </is>
      </c>
      <c r="G2" s="8">
        <f>COUNTIFS(Prices!$A$2:$A$103,$A2,Prices!$L$2:$L$103,"Y",Prices!$E$2:$E$103,"&gt;0")</f>
        <v/>
      </c>
      <c r="H2" s="7">
        <f>_xlfn.MINIFS(Prices!$W$2:$W$103,Prices!$A$2:$A$103,$A2,Prices!$L$2:$L$103,"Y",Prices!$W$2:$W$103,"&gt;0")</f>
        <v/>
      </c>
      <c r="I2" s="7">
        <f>_xlfn.MINIFS(Prices!$X$2:$X$103,Prices!$A$2:$A$103,$A2,Prices!$L$2:$L$103,"Y",Prices!$X$2:$X$103,"&gt;0")</f>
        <v/>
      </c>
      <c r="J2" s="7">
        <f>_xlfn.MINIFS(Prices!$Y$2:$Y$103,Prices!$A$2:$A$103,$A2,Prices!$L$2:$L$103,"Y",Prices!$Y$2:$Y$103,"&gt;0")</f>
        <v/>
      </c>
      <c r="K2" s="8">
        <f>IFERROR(INDEX(Prices!$B$2:$B$103,MATCH($A2&amp;"|"&amp;TEXT($H2,"0.0000")&amp;"|Y",Prices!$Z$2:$Z$103,0)),"none")</f>
        <v/>
      </c>
      <c r="L2" s="8">
        <f>IFERROR(INDEX(Prices!$B$2:$B$103,MATCH($A2&amp;"|"&amp;TEXT($J2,"0.0000")&amp;"|Y",Prices!$AA$2:$AA$103,0)),"none")</f>
        <v/>
      </c>
      <c r="M2" s="8">
        <f>IF($G2=0,"NO PRICE",IF($G2=1,"Single source",""))</f>
        <v/>
      </c>
    </row>
    <row r="3">
      <c r="A3" s="8" t="inlineStr">
        <is>
          <t>H02</t>
        </is>
      </c>
      <c r="B3" s="8" t="inlineStr">
        <is>
          <t>Logic (74HCT)</t>
        </is>
      </c>
      <c r="C3" s="8" t="inlineStr">
        <is>
          <t>74HCT02</t>
        </is>
      </c>
      <c r="D3" s="8" t="inlineStr">
        <is>
          <t>Quad NOR, DIP-14</t>
        </is>
      </c>
      <c r="E3" s="12" t="n">
        <v>1</v>
      </c>
      <c r="F3" s="8" t="inlineStr">
        <is>
          <t>see netlist</t>
        </is>
      </c>
      <c r="G3" s="8">
        <f>COUNTIFS(Prices!$A$2:$A$103,$A3,Prices!$L$2:$L$103,"Y",Prices!$E$2:$E$103,"&gt;0")</f>
        <v/>
      </c>
      <c r="H3" s="7">
        <f>_xlfn.MINIFS(Prices!$W$2:$W$103,Prices!$A$2:$A$103,$A3,Prices!$L$2:$L$103,"Y",Prices!$W$2:$W$103,"&gt;0")</f>
        <v/>
      </c>
      <c r="I3" s="7">
        <f>_xlfn.MINIFS(Prices!$X$2:$X$103,Prices!$A$2:$A$103,$A3,Prices!$L$2:$L$103,"Y",Prices!$X$2:$X$103,"&gt;0")</f>
        <v/>
      </c>
      <c r="J3" s="7">
        <f>_xlfn.MINIFS(Prices!$Y$2:$Y$103,Prices!$A$2:$A$103,$A3,Prices!$L$2:$L$103,"Y",Prices!$Y$2:$Y$103,"&gt;0")</f>
        <v/>
      </c>
      <c r="K3" s="8">
        <f>IFERROR(INDEX(Prices!$B$2:$B$103,MATCH($A3&amp;"|"&amp;TEXT($H3,"0.0000")&amp;"|Y",Prices!$Z$2:$Z$103,0)),"none")</f>
        <v/>
      </c>
      <c r="L3" s="8">
        <f>IFERROR(INDEX(Prices!$B$2:$B$103,MATCH($A3&amp;"|"&amp;TEXT($J3,"0.0000")&amp;"|Y",Prices!$AA$2:$AA$103,0)),"none")</f>
        <v/>
      </c>
      <c r="M3" s="8">
        <f>IF($G3=0,"NO PRICE",IF($G3=1,"Single source",""))</f>
        <v/>
      </c>
    </row>
    <row r="4">
      <c r="A4" s="8" t="inlineStr">
        <is>
          <t>H04</t>
        </is>
      </c>
      <c r="B4" s="8" t="inlineStr">
        <is>
          <t>Logic (74HCT)</t>
        </is>
      </c>
      <c r="C4" s="8" t="inlineStr">
        <is>
          <t>74HCT04</t>
        </is>
      </c>
      <c r="D4" s="8" t="inlineStr">
        <is>
          <t>Hex inverter, DIP-14</t>
        </is>
      </c>
      <c r="E4" s="12" t="n">
        <v>2</v>
      </c>
      <c r="F4" s="8" t="inlineStr">
        <is>
          <t>see netlist</t>
        </is>
      </c>
      <c r="G4" s="8">
        <f>COUNTIFS(Prices!$A$2:$A$103,$A4,Prices!$L$2:$L$103,"Y",Prices!$E$2:$E$103,"&gt;0")</f>
        <v/>
      </c>
      <c r="H4" s="7">
        <f>_xlfn.MINIFS(Prices!$W$2:$W$103,Prices!$A$2:$A$103,$A4,Prices!$L$2:$L$103,"Y",Prices!$W$2:$W$103,"&gt;0")</f>
        <v/>
      </c>
      <c r="I4" s="7">
        <f>_xlfn.MINIFS(Prices!$X$2:$X$103,Prices!$A$2:$A$103,$A4,Prices!$L$2:$L$103,"Y",Prices!$X$2:$X$103,"&gt;0")</f>
        <v/>
      </c>
      <c r="J4" s="7">
        <f>_xlfn.MINIFS(Prices!$Y$2:$Y$103,Prices!$A$2:$A$103,$A4,Prices!$L$2:$L$103,"Y",Prices!$Y$2:$Y$103,"&gt;0")</f>
        <v/>
      </c>
      <c r="K4" s="8">
        <f>IFERROR(INDEX(Prices!$B$2:$B$103,MATCH($A4&amp;"|"&amp;TEXT($H4,"0.0000")&amp;"|Y",Prices!$Z$2:$Z$103,0)),"none")</f>
        <v/>
      </c>
      <c r="L4" s="8">
        <f>IFERROR(INDEX(Prices!$B$2:$B$103,MATCH($A4&amp;"|"&amp;TEXT($J4,"0.0000")&amp;"|Y",Prices!$AA$2:$AA$103,0)),"none")</f>
        <v/>
      </c>
      <c r="M4" s="8">
        <f>IF($G4=0,"NO PRICE",IF($G4=1,"Single source",""))</f>
        <v/>
      </c>
    </row>
    <row r="5">
      <c r="A5" s="8" t="inlineStr">
        <is>
          <t>H08</t>
        </is>
      </c>
      <c r="B5" s="8" t="inlineStr">
        <is>
          <t>Logic (74HCT)</t>
        </is>
      </c>
      <c r="C5" s="8" t="inlineStr">
        <is>
          <t>74HCT08</t>
        </is>
      </c>
      <c r="D5" s="8" t="inlineStr">
        <is>
          <t>Quad AND, DIP-14</t>
        </is>
      </c>
      <c r="E5" s="12" t="n">
        <v>2</v>
      </c>
      <c r="F5" s="8" t="inlineStr">
        <is>
          <t>see netlist</t>
        </is>
      </c>
      <c r="G5" s="8">
        <f>COUNTIFS(Prices!$A$2:$A$103,$A5,Prices!$L$2:$L$103,"Y",Prices!$E$2:$E$103,"&gt;0")</f>
        <v/>
      </c>
      <c r="H5" s="7">
        <f>_xlfn.MINIFS(Prices!$W$2:$W$103,Prices!$A$2:$A$103,$A5,Prices!$L$2:$L$103,"Y",Prices!$W$2:$W$103,"&gt;0")</f>
        <v/>
      </c>
      <c r="I5" s="7">
        <f>_xlfn.MINIFS(Prices!$X$2:$X$103,Prices!$A$2:$A$103,$A5,Prices!$L$2:$L$103,"Y",Prices!$X$2:$X$103,"&gt;0")</f>
        <v/>
      </c>
      <c r="J5" s="7">
        <f>_xlfn.MINIFS(Prices!$Y$2:$Y$103,Prices!$A$2:$A$103,$A5,Prices!$L$2:$L$103,"Y",Prices!$Y$2:$Y$103,"&gt;0")</f>
        <v/>
      </c>
      <c r="K5" s="8">
        <f>IFERROR(INDEX(Prices!$B$2:$B$103,MATCH($A5&amp;"|"&amp;TEXT($H5,"0.0000")&amp;"|Y",Prices!$Z$2:$Z$103,0)),"none")</f>
        <v/>
      </c>
      <c r="L5" s="8">
        <f>IFERROR(INDEX(Prices!$B$2:$B$103,MATCH($A5&amp;"|"&amp;TEXT($J5,"0.0000")&amp;"|Y",Prices!$AA$2:$AA$103,0)),"none")</f>
        <v/>
      </c>
      <c r="M5" s="8">
        <f>IF($G5=0,"NO PRICE",IF($G5=1,"Single source",""))</f>
        <v/>
      </c>
    </row>
    <row r="6">
      <c r="A6" s="8" t="inlineStr">
        <is>
          <t>H32</t>
        </is>
      </c>
      <c r="B6" s="8" t="inlineStr">
        <is>
          <t>Logic (74HCT)</t>
        </is>
      </c>
      <c r="C6" s="8" t="inlineStr">
        <is>
          <t>74HCT32</t>
        </is>
      </c>
      <c r="D6" s="8" t="inlineStr">
        <is>
          <t>Quad OR, DIP-14</t>
        </is>
      </c>
      <c r="E6" s="12" t="n">
        <v>1</v>
      </c>
      <c r="F6" s="8" t="inlineStr">
        <is>
          <t>see netlist</t>
        </is>
      </c>
      <c r="G6" s="8">
        <f>COUNTIFS(Prices!$A$2:$A$103,$A6,Prices!$L$2:$L$103,"Y",Prices!$E$2:$E$103,"&gt;0")</f>
        <v/>
      </c>
      <c r="H6" s="7">
        <f>_xlfn.MINIFS(Prices!$W$2:$W$103,Prices!$A$2:$A$103,$A6,Prices!$L$2:$L$103,"Y",Prices!$W$2:$W$103,"&gt;0")</f>
        <v/>
      </c>
      <c r="I6" s="7">
        <f>_xlfn.MINIFS(Prices!$X$2:$X$103,Prices!$A$2:$A$103,$A6,Prices!$L$2:$L$103,"Y",Prices!$X$2:$X$103,"&gt;0")</f>
        <v/>
      </c>
      <c r="J6" s="7">
        <f>_xlfn.MINIFS(Prices!$Y$2:$Y$103,Prices!$A$2:$A$103,$A6,Prices!$L$2:$L$103,"Y",Prices!$Y$2:$Y$103,"&gt;0")</f>
        <v/>
      </c>
      <c r="K6" s="8">
        <f>IFERROR(INDEX(Prices!$B$2:$B$103,MATCH($A6&amp;"|"&amp;TEXT($H6,"0.0000")&amp;"|Y",Prices!$Z$2:$Z$103,0)),"none")</f>
        <v/>
      </c>
      <c r="L6" s="8">
        <f>IFERROR(INDEX(Prices!$B$2:$B$103,MATCH($A6&amp;"|"&amp;TEXT($J6,"0.0000")&amp;"|Y",Prices!$AA$2:$AA$103,0)),"none")</f>
        <v/>
      </c>
      <c r="M6" s="8">
        <f>IF($G6=0,"NO PRICE",IF($G6=1,"Single source",""))</f>
        <v/>
      </c>
    </row>
    <row r="7">
      <c r="A7" s="8" t="inlineStr">
        <is>
          <t>H86</t>
        </is>
      </c>
      <c r="B7" s="8" t="inlineStr">
        <is>
          <t>Logic (74HCT)</t>
        </is>
      </c>
      <c r="C7" s="8" t="inlineStr">
        <is>
          <t>74HCT86</t>
        </is>
      </c>
      <c r="D7" s="8" t="inlineStr">
        <is>
          <t>Quad XOR, DIP-14</t>
        </is>
      </c>
      <c r="E7" s="12" t="n">
        <v>2</v>
      </c>
      <c r="F7" s="8" t="inlineStr">
        <is>
          <t>see netlist</t>
        </is>
      </c>
      <c r="G7" s="8">
        <f>COUNTIFS(Prices!$A$2:$A$103,$A7,Prices!$L$2:$L$103,"Y",Prices!$E$2:$E$103,"&gt;0")</f>
        <v/>
      </c>
      <c r="H7" s="7">
        <f>_xlfn.MINIFS(Prices!$W$2:$W$103,Prices!$A$2:$A$103,$A7,Prices!$L$2:$L$103,"Y",Prices!$W$2:$W$103,"&gt;0")</f>
        <v/>
      </c>
      <c r="I7" s="7">
        <f>_xlfn.MINIFS(Prices!$X$2:$X$103,Prices!$A$2:$A$103,$A7,Prices!$L$2:$L$103,"Y",Prices!$X$2:$X$103,"&gt;0")</f>
        <v/>
      </c>
      <c r="J7" s="7">
        <f>_xlfn.MINIFS(Prices!$Y$2:$Y$103,Prices!$A$2:$A$103,$A7,Prices!$L$2:$L$103,"Y",Prices!$Y$2:$Y$103,"&gt;0")</f>
        <v/>
      </c>
      <c r="K7" s="8">
        <f>IFERROR(INDEX(Prices!$B$2:$B$103,MATCH($A7&amp;"|"&amp;TEXT($H7,"0.0000")&amp;"|Y",Prices!$Z$2:$Z$103,0)),"none")</f>
        <v/>
      </c>
      <c r="L7" s="8">
        <f>IFERROR(INDEX(Prices!$B$2:$B$103,MATCH($A7&amp;"|"&amp;TEXT($J7,"0.0000")&amp;"|Y",Prices!$AA$2:$AA$103,0)),"none")</f>
        <v/>
      </c>
      <c r="M7" s="8">
        <f>IF($G7=0,"NO PRICE",IF($G7=1,"Single source",""))</f>
        <v/>
      </c>
    </row>
    <row r="8">
      <c r="A8" s="8" t="inlineStr">
        <is>
          <t>H107</t>
        </is>
      </c>
      <c r="B8" s="8" t="inlineStr">
        <is>
          <t>Logic (74HCT)</t>
        </is>
      </c>
      <c r="C8" s="8" t="inlineStr">
        <is>
          <t>74HCT107 (CD74HCT107E)</t>
        </is>
      </c>
      <c r="D8" s="8" t="inlineStr">
        <is>
          <t>Dual JK flip-flop, DIP-14</t>
        </is>
      </c>
      <c r="E8" s="12" t="n">
        <v>1</v>
      </c>
      <c r="F8" s="8" t="inlineStr">
        <is>
          <t>see netlist</t>
        </is>
      </c>
      <c r="G8" s="8">
        <f>COUNTIFS(Prices!$A$2:$A$103,$A8,Prices!$L$2:$L$103,"Y",Prices!$E$2:$E$103,"&gt;0")</f>
        <v/>
      </c>
      <c r="H8" s="7">
        <f>_xlfn.MINIFS(Prices!$W$2:$W$103,Prices!$A$2:$A$103,$A8,Prices!$L$2:$L$103,"Y",Prices!$W$2:$W$103,"&gt;0")</f>
        <v/>
      </c>
      <c r="I8" s="7">
        <f>_xlfn.MINIFS(Prices!$X$2:$X$103,Prices!$A$2:$A$103,$A8,Prices!$L$2:$L$103,"Y",Prices!$X$2:$X$103,"&gt;0")</f>
        <v/>
      </c>
      <c r="J8" s="7">
        <f>_xlfn.MINIFS(Prices!$Y$2:$Y$103,Prices!$A$2:$A$103,$A8,Prices!$L$2:$L$103,"Y",Prices!$Y$2:$Y$103,"&gt;0")</f>
        <v/>
      </c>
      <c r="K8" s="8">
        <f>IFERROR(INDEX(Prices!$B$2:$B$103,MATCH($A8&amp;"|"&amp;TEXT($H8,"0.0000")&amp;"|Y",Prices!$Z$2:$Z$103,0)),"none")</f>
        <v/>
      </c>
      <c r="L8" s="8">
        <f>IFERROR(INDEX(Prices!$B$2:$B$103,MATCH($A8&amp;"|"&amp;TEXT($J8,"0.0000")&amp;"|Y",Prices!$AA$2:$AA$103,0)),"none")</f>
        <v/>
      </c>
      <c r="M8" s="8">
        <f>IF($G8=0,"NO PRICE",IF($G8=1,"Single source",""))</f>
        <v/>
      </c>
    </row>
    <row r="9">
      <c r="A9" s="8" t="inlineStr">
        <is>
          <t>H138</t>
        </is>
      </c>
      <c r="B9" s="8" t="inlineStr">
        <is>
          <t>Logic (74HCT)</t>
        </is>
      </c>
      <c r="C9" s="8" t="inlineStr">
        <is>
          <t>74HCT138</t>
        </is>
      </c>
      <c r="D9" s="8" t="inlineStr">
        <is>
          <t>3-to-8 decoder, DIP-16</t>
        </is>
      </c>
      <c r="E9" s="12" t="n">
        <v>1</v>
      </c>
      <c r="F9" s="8" t="inlineStr">
        <is>
          <t>see netlist</t>
        </is>
      </c>
      <c r="G9" s="8">
        <f>COUNTIFS(Prices!$A$2:$A$103,$A9,Prices!$L$2:$L$103,"Y",Prices!$E$2:$E$103,"&gt;0")</f>
        <v/>
      </c>
      <c r="H9" s="7">
        <f>_xlfn.MINIFS(Prices!$W$2:$W$103,Prices!$A$2:$A$103,$A9,Prices!$L$2:$L$103,"Y",Prices!$W$2:$W$103,"&gt;0")</f>
        <v/>
      </c>
      <c r="I9" s="7">
        <f>_xlfn.MINIFS(Prices!$X$2:$X$103,Prices!$A$2:$A$103,$A9,Prices!$L$2:$L$103,"Y",Prices!$X$2:$X$103,"&gt;0")</f>
        <v/>
      </c>
      <c r="J9" s="7">
        <f>_xlfn.MINIFS(Prices!$Y$2:$Y$103,Prices!$A$2:$A$103,$A9,Prices!$L$2:$L$103,"Y",Prices!$Y$2:$Y$103,"&gt;0")</f>
        <v/>
      </c>
      <c r="K9" s="8">
        <f>IFERROR(INDEX(Prices!$B$2:$B$103,MATCH($A9&amp;"|"&amp;TEXT($H9,"0.0000")&amp;"|Y",Prices!$Z$2:$Z$103,0)),"none")</f>
        <v/>
      </c>
      <c r="L9" s="8">
        <f>IFERROR(INDEX(Prices!$B$2:$B$103,MATCH($A9&amp;"|"&amp;TEXT($J9,"0.0000")&amp;"|Y",Prices!$AA$2:$AA$103,0)),"none")</f>
        <v/>
      </c>
      <c r="M9" s="8">
        <f>IF($G9=0,"NO PRICE",IF($G9=1,"Single source",""))</f>
        <v/>
      </c>
    </row>
    <row r="10">
      <c r="A10" s="8" t="inlineStr">
        <is>
          <t>H139</t>
        </is>
      </c>
      <c r="B10" s="8" t="inlineStr">
        <is>
          <t>Logic (74HCT)</t>
        </is>
      </c>
      <c r="C10" s="8" t="inlineStr">
        <is>
          <t>74HCT139</t>
        </is>
      </c>
      <c r="D10" s="8" t="inlineStr">
        <is>
          <t>Dual 2-to-4 decoder, DIP-16</t>
        </is>
      </c>
      <c r="E10" s="12" t="n">
        <v>2</v>
      </c>
      <c r="F10" s="8" t="inlineStr">
        <is>
          <t>see netlist</t>
        </is>
      </c>
      <c r="G10" s="8">
        <f>COUNTIFS(Prices!$A$2:$A$103,$A10,Prices!$L$2:$L$103,"Y",Prices!$E$2:$E$103,"&gt;0")</f>
        <v/>
      </c>
      <c r="H10" s="7">
        <f>_xlfn.MINIFS(Prices!$W$2:$W$103,Prices!$A$2:$A$103,$A10,Prices!$L$2:$L$103,"Y",Prices!$W$2:$W$103,"&gt;0")</f>
        <v/>
      </c>
      <c r="I10" s="7">
        <f>_xlfn.MINIFS(Prices!$X$2:$X$103,Prices!$A$2:$A$103,$A10,Prices!$L$2:$L$103,"Y",Prices!$X$2:$X$103,"&gt;0")</f>
        <v/>
      </c>
      <c r="J10" s="7">
        <f>_xlfn.MINIFS(Prices!$Y$2:$Y$103,Prices!$A$2:$A$103,$A10,Prices!$L$2:$L$103,"Y",Prices!$Y$2:$Y$103,"&gt;0")</f>
        <v/>
      </c>
      <c r="K10" s="8">
        <f>IFERROR(INDEX(Prices!$B$2:$B$103,MATCH($A10&amp;"|"&amp;TEXT($H10,"0.0000")&amp;"|Y",Prices!$Z$2:$Z$103,0)),"none")</f>
        <v/>
      </c>
      <c r="L10" s="8">
        <f>IFERROR(INDEX(Prices!$B$2:$B$103,MATCH($A10&amp;"|"&amp;TEXT($J10,"0.0000")&amp;"|Y",Prices!$AA$2:$AA$103,0)),"none")</f>
        <v/>
      </c>
      <c r="M10" s="8">
        <f>IF($G10=0,"NO PRICE",IF($G10=1,"Single source",""))</f>
        <v/>
      </c>
    </row>
    <row r="11">
      <c r="A11" s="8" t="inlineStr">
        <is>
          <t>H157</t>
        </is>
      </c>
      <c r="B11" s="8" t="inlineStr">
        <is>
          <t>Logic (74HCT)</t>
        </is>
      </c>
      <c r="C11" s="8" t="inlineStr">
        <is>
          <t>74HCT157</t>
        </is>
      </c>
      <c r="D11" s="8" t="inlineStr">
        <is>
          <t>Quad 2-to-1 mux, DIP-16</t>
        </is>
      </c>
      <c r="E11" s="12" t="n">
        <v>2</v>
      </c>
      <c r="F11" s="8" t="inlineStr">
        <is>
          <t>see netlist</t>
        </is>
      </c>
      <c r="G11" s="8">
        <f>COUNTIFS(Prices!$A$2:$A$103,$A11,Prices!$L$2:$L$103,"Y",Prices!$E$2:$E$103,"&gt;0")</f>
        <v/>
      </c>
      <c r="H11" s="7">
        <f>_xlfn.MINIFS(Prices!$W$2:$W$103,Prices!$A$2:$A$103,$A11,Prices!$L$2:$L$103,"Y",Prices!$W$2:$W$103,"&gt;0")</f>
        <v/>
      </c>
      <c r="I11" s="7">
        <f>_xlfn.MINIFS(Prices!$X$2:$X$103,Prices!$A$2:$A$103,$A11,Prices!$L$2:$L$103,"Y",Prices!$X$2:$X$103,"&gt;0")</f>
        <v/>
      </c>
      <c r="J11" s="7">
        <f>_xlfn.MINIFS(Prices!$Y$2:$Y$103,Prices!$A$2:$A$103,$A11,Prices!$L$2:$L$103,"Y",Prices!$Y$2:$Y$103,"&gt;0")</f>
        <v/>
      </c>
      <c r="K11" s="8">
        <f>IFERROR(INDEX(Prices!$B$2:$B$103,MATCH($A11&amp;"|"&amp;TEXT($H11,"0.0000")&amp;"|Y",Prices!$Z$2:$Z$103,0)),"none")</f>
        <v/>
      </c>
      <c r="L11" s="8">
        <f>IFERROR(INDEX(Prices!$B$2:$B$103,MATCH($A11&amp;"|"&amp;TEXT($J11,"0.0000")&amp;"|Y",Prices!$AA$2:$AA$103,0)),"none")</f>
        <v/>
      </c>
      <c r="M11" s="8">
        <f>IF($G11=0,"NO PRICE",IF($G11=1,"Single source",""))</f>
        <v/>
      </c>
    </row>
    <row r="12">
      <c r="A12" s="8" t="inlineStr">
        <is>
          <t>H161</t>
        </is>
      </c>
      <c r="B12" s="8" t="inlineStr">
        <is>
          <t>Logic (74HCT)</t>
        </is>
      </c>
      <c r="C12" s="8" t="inlineStr">
        <is>
          <t>74HCT161</t>
        </is>
      </c>
      <c r="D12" s="8" t="inlineStr">
        <is>
          <t>4-bit counter, DIP-16</t>
        </is>
      </c>
      <c r="E12" s="12" t="n">
        <v>2</v>
      </c>
      <c r="F12" s="8" t="inlineStr">
        <is>
          <t>see netlist</t>
        </is>
      </c>
      <c r="G12" s="8">
        <f>COUNTIFS(Prices!$A$2:$A$103,$A12,Prices!$L$2:$L$103,"Y",Prices!$E$2:$E$103,"&gt;0")</f>
        <v/>
      </c>
      <c r="H12" s="7">
        <f>_xlfn.MINIFS(Prices!$W$2:$W$103,Prices!$A$2:$A$103,$A12,Prices!$L$2:$L$103,"Y",Prices!$W$2:$W$103,"&gt;0")</f>
        <v/>
      </c>
      <c r="I12" s="7">
        <f>_xlfn.MINIFS(Prices!$X$2:$X$103,Prices!$A$2:$A$103,$A12,Prices!$L$2:$L$103,"Y",Prices!$X$2:$X$103,"&gt;0")</f>
        <v/>
      </c>
      <c r="J12" s="7">
        <f>_xlfn.MINIFS(Prices!$Y$2:$Y$103,Prices!$A$2:$A$103,$A12,Prices!$L$2:$L$103,"Y",Prices!$Y$2:$Y$103,"&gt;0")</f>
        <v/>
      </c>
      <c r="K12" s="8">
        <f>IFERROR(INDEX(Prices!$B$2:$B$103,MATCH($A12&amp;"|"&amp;TEXT($H12,"0.0000")&amp;"|Y",Prices!$Z$2:$Z$103,0)),"none")</f>
        <v/>
      </c>
      <c r="L12" s="8">
        <f>IFERROR(INDEX(Prices!$B$2:$B$103,MATCH($A12&amp;"|"&amp;TEXT($J12,"0.0000")&amp;"|Y",Prices!$AA$2:$AA$103,0)),"none")</f>
        <v/>
      </c>
      <c r="M12" s="8">
        <f>IF($G12=0,"NO PRICE",IF($G12=1,"Single source",""))</f>
        <v/>
      </c>
    </row>
    <row r="13">
      <c r="A13" s="8" t="inlineStr">
        <is>
          <t>H173</t>
        </is>
      </c>
      <c r="B13" s="8" t="inlineStr">
        <is>
          <t>Logic (74HCT)</t>
        </is>
      </c>
      <c r="C13" s="8" t="inlineStr">
        <is>
          <t>74HCT173 (CD74HCT173E)</t>
        </is>
      </c>
      <c r="D13" s="8" t="inlineStr">
        <is>
          <t>4-bit register tri-state, DIP-16</t>
        </is>
      </c>
      <c r="E13" s="12" t="n">
        <v>9</v>
      </c>
      <c r="F13" s="8" t="inlineStr">
        <is>
          <t>see netlist</t>
        </is>
      </c>
      <c r="G13" s="8">
        <f>COUNTIFS(Prices!$A$2:$A$103,$A13,Prices!$L$2:$L$103,"Y",Prices!$E$2:$E$103,"&gt;0")</f>
        <v/>
      </c>
      <c r="H13" s="7">
        <f>_xlfn.MINIFS(Prices!$W$2:$W$103,Prices!$A$2:$A$103,$A13,Prices!$L$2:$L$103,"Y",Prices!$W$2:$W$103,"&gt;0")</f>
        <v/>
      </c>
      <c r="I13" s="7">
        <f>_xlfn.MINIFS(Prices!$X$2:$X$103,Prices!$A$2:$A$103,$A13,Prices!$L$2:$L$103,"Y",Prices!$X$2:$X$103,"&gt;0")</f>
        <v/>
      </c>
      <c r="J13" s="7">
        <f>_xlfn.MINIFS(Prices!$Y$2:$Y$103,Prices!$A$2:$A$103,$A13,Prices!$L$2:$L$103,"Y",Prices!$Y$2:$Y$103,"&gt;0")</f>
        <v/>
      </c>
      <c r="K13" s="8">
        <f>IFERROR(INDEX(Prices!$B$2:$B$103,MATCH($A13&amp;"|"&amp;TEXT($H13,"0.0000")&amp;"|Y",Prices!$Z$2:$Z$103,0)),"none")</f>
        <v/>
      </c>
      <c r="L13" s="8">
        <f>IFERROR(INDEX(Prices!$B$2:$B$103,MATCH($A13&amp;"|"&amp;TEXT($J13,"0.0000")&amp;"|Y",Prices!$AA$2:$AA$103,0)),"none")</f>
        <v/>
      </c>
      <c r="M13" s="8">
        <f>IF($G13=0,"NO PRICE",IF($G13=1,"Single source",""))</f>
        <v/>
      </c>
    </row>
    <row r="14">
      <c r="A14" s="8" t="inlineStr">
        <is>
          <t>H174</t>
        </is>
      </c>
      <c r="B14" s="8" t="inlineStr">
        <is>
          <t>Logic (74HCT)</t>
        </is>
      </c>
      <c r="C14" s="8" t="inlineStr">
        <is>
          <t>74HCT174</t>
        </is>
      </c>
      <c r="D14" s="8" t="inlineStr">
        <is>
          <t>Hex D flip-flop, DIP-16</t>
        </is>
      </c>
      <c r="E14" s="12" t="n">
        <v>1</v>
      </c>
      <c r="F14" s="8" t="inlineStr">
        <is>
          <t>see netlist</t>
        </is>
      </c>
      <c r="G14" s="8">
        <f>COUNTIFS(Prices!$A$2:$A$103,$A14,Prices!$L$2:$L$103,"Y",Prices!$E$2:$E$103,"&gt;0")</f>
        <v/>
      </c>
      <c r="H14" s="7">
        <f>_xlfn.MINIFS(Prices!$W$2:$W$103,Prices!$A$2:$A$103,$A14,Prices!$L$2:$L$103,"Y",Prices!$W$2:$W$103,"&gt;0")</f>
        <v/>
      </c>
      <c r="I14" s="7">
        <f>_xlfn.MINIFS(Prices!$X$2:$X$103,Prices!$A$2:$A$103,$A14,Prices!$L$2:$L$103,"Y",Prices!$X$2:$X$103,"&gt;0")</f>
        <v/>
      </c>
      <c r="J14" s="7">
        <f>_xlfn.MINIFS(Prices!$Y$2:$Y$103,Prices!$A$2:$A$103,$A14,Prices!$L$2:$L$103,"Y",Prices!$Y$2:$Y$103,"&gt;0")</f>
        <v/>
      </c>
      <c r="K14" s="8">
        <f>IFERROR(INDEX(Prices!$B$2:$B$103,MATCH($A14&amp;"|"&amp;TEXT($H14,"0.0000")&amp;"|Y",Prices!$Z$2:$Z$103,0)),"none")</f>
        <v/>
      </c>
      <c r="L14" s="8">
        <f>IFERROR(INDEX(Prices!$B$2:$B$103,MATCH($A14&amp;"|"&amp;TEXT($J14,"0.0000")&amp;"|Y",Prices!$AA$2:$AA$103,0)),"none")</f>
        <v/>
      </c>
      <c r="M14" s="8">
        <f>IF($G14=0,"NO PRICE",IF($G14=1,"Single source",""))</f>
        <v/>
      </c>
    </row>
    <row r="15">
      <c r="A15" s="8" t="inlineStr">
        <is>
          <t>H245</t>
        </is>
      </c>
      <c r="B15" s="8" t="inlineStr">
        <is>
          <t>Logic (74HCT)</t>
        </is>
      </c>
      <c r="C15" s="8" t="inlineStr">
        <is>
          <t>74HCT245</t>
        </is>
      </c>
      <c r="D15" s="8" t="inlineStr">
        <is>
          <t>Octal transceiver, DIP-20</t>
        </is>
      </c>
      <c r="E15" s="12" t="n">
        <v>9</v>
      </c>
      <c r="F15" s="8" t="inlineStr">
        <is>
          <t>see netlist</t>
        </is>
      </c>
      <c r="G15" s="8">
        <f>COUNTIFS(Prices!$A$2:$A$103,$A15,Prices!$L$2:$L$103,"Y",Prices!$E$2:$E$103,"&gt;0")</f>
        <v/>
      </c>
      <c r="H15" s="7">
        <f>_xlfn.MINIFS(Prices!$W$2:$W$103,Prices!$A$2:$A$103,$A15,Prices!$L$2:$L$103,"Y",Prices!$W$2:$W$103,"&gt;0")</f>
        <v/>
      </c>
      <c r="I15" s="7">
        <f>_xlfn.MINIFS(Prices!$X$2:$X$103,Prices!$A$2:$A$103,$A15,Prices!$L$2:$L$103,"Y",Prices!$X$2:$X$103,"&gt;0")</f>
        <v/>
      </c>
      <c r="J15" s="7">
        <f>_xlfn.MINIFS(Prices!$Y$2:$Y$103,Prices!$A$2:$A$103,$A15,Prices!$L$2:$L$103,"Y",Prices!$Y$2:$Y$103,"&gt;0")</f>
        <v/>
      </c>
      <c r="K15" s="8">
        <f>IFERROR(INDEX(Prices!$B$2:$B$103,MATCH($A15&amp;"|"&amp;TEXT($H15,"0.0000")&amp;"|Y",Prices!$Z$2:$Z$103,0)),"none")</f>
        <v/>
      </c>
      <c r="L15" s="8">
        <f>IFERROR(INDEX(Prices!$B$2:$B$103,MATCH($A15&amp;"|"&amp;TEXT($J15,"0.0000")&amp;"|Y",Prices!$AA$2:$AA$103,0)),"none")</f>
        <v/>
      </c>
      <c r="M15" s="8">
        <f>IF($G15=0,"NO PRICE",IF($G15=1,"Single source",""))</f>
        <v/>
      </c>
    </row>
    <row r="16">
      <c r="A16" s="8" t="inlineStr">
        <is>
          <t>H283</t>
        </is>
      </c>
      <c r="B16" s="8" t="inlineStr">
        <is>
          <t>Logic (74HCT)</t>
        </is>
      </c>
      <c r="C16" s="8" t="inlineStr">
        <is>
          <t>74HCT283 or 74HC283</t>
        </is>
      </c>
      <c r="D16" s="8" t="inlineStr">
        <is>
          <t>4-bit adder, DIP-16 (HC is acceptable in this socket)</t>
        </is>
      </c>
      <c r="E16" s="12" t="n">
        <v>2</v>
      </c>
      <c r="F16" s="8" t="inlineStr">
        <is>
          <t>see netlist</t>
        </is>
      </c>
      <c r="G16" s="8">
        <f>COUNTIFS(Prices!$A$2:$A$103,$A16,Prices!$L$2:$L$103,"Y",Prices!$E$2:$E$103,"&gt;0")</f>
        <v/>
      </c>
      <c r="H16" s="7">
        <f>_xlfn.MINIFS(Prices!$W$2:$W$103,Prices!$A$2:$A$103,$A16,Prices!$L$2:$L$103,"Y",Prices!$W$2:$W$103,"&gt;0")</f>
        <v/>
      </c>
      <c r="I16" s="7">
        <f>_xlfn.MINIFS(Prices!$X$2:$X$103,Prices!$A$2:$A$103,$A16,Prices!$L$2:$L$103,"Y",Prices!$X$2:$X$103,"&gt;0")</f>
        <v/>
      </c>
      <c r="J16" s="7">
        <f>_xlfn.MINIFS(Prices!$Y$2:$Y$103,Prices!$A$2:$A$103,$A16,Prices!$L$2:$L$103,"Y",Prices!$Y$2:$Y$103,"&gt;0")</f>
        <v/>
      </c>
      <c r="K16" s="8">
        <f>IFERROR(INDEX(Prices!$B$2:$B$103,MATCH($A16&amp;"|"&amp;TEXT($H16,"0.0000")&amp;"|Y",Prices!$Z$2:$Z$103,0)),"none")</f>
        <v/>
      </c>
      <c r="L16" s="8">
        <f>IFERROR(INDEX(Prices!$B$2:$B$103,MATCH($A16&amp;"|"&amp;TEXT($J16,"0.0000")&amp;"|Y",Prices!$AA$2:$AA$103,0)),"none")</f>
        <v/>
      </c>
      <c r="M16" s="8">
        <f>IF($G16=0,"NO PRICE",IF($G16=1,"Single source",""))</f>
        <v/>
      </c>
    </row>
    <row r="17">
      <c r="A17" s="8" t="inlineStr">
        <is>
          <t>H377</t>
        </is>
      </c>
      <c r="B17" s="8" t="inlineStr">
        <is>
          <t>Logic (74HCT)</t>
        </is>
      </c>
      <c r="C17" s="8" t="inlineStr">
        <is>
          <t>74HCT377</t>
        </is>
      </c>
      <c r="D17" s="8" t="inlineStr">
        <is>
          <t>Octal D flip-flop with enable, DIP-20</t>
        </is>
      </c>
      <c r="E17" s="12" t="n">
        <v>1</v>
      </c>
      <c r="F17" s="8" t="inlineStr">
        <is>
          <t>see netlist</t>
        </is>
      </c>
      <c r="G17" s="8">
        <f>COUNTIFS(Prices!$A$2:$A$103,$A17,Prices!$L$2:$L$103,"Y",Prices!$E$2:$E$103,"&gt;0")</f>
        <v/>
      </c>
      <c r="H17" s="7">
        <f>_xlfn.MINIFS(Prices!$W$2:$W$103,Prices!$A$2:$A$103,$A17,Prices!$L$2:$L$103,"Y",Prices!$W$2:$W$103,"&gt;0")</f>
        <v/>
      </c>
      <c r="I17" s="7">
        <f>_xlfn.MINIFS(Prices!$X$2:$X$103,Prices!$A$2:$A$103,$A17,Prices!$L$2:$L$103,"Y",Prices!$X$2:$X$103,"&gt;0")</f>
        <v/>
      </c>
      <c r="J17" s="7">
        <f>_xlfn.MINIFS(Prices!$Y$2:$Y$103,Prices!$A$2:$A$103,$A17,Prices!$L$2:$L$103,"Y",Prices!$Y$2:$Y$103,"&gt;0")</f>
        <v/>
      </c>
      <c r="K17" s="8">
        <f>IFERROR(INDEX(Prices!$B$2:$B$103,MATCH($A17&amp;"|"&amp;TEXT($H17,"0.0000")&amp;"|Y",Prices!$Z$2:$Z$103,0)),"none")</f>
        <v/>
      </c>
      <c r="L17" s="8">
        <f>IFERROR(INDEX(Prices!$B$2:$B$103,MATCH($A17&amp;"|"&amp;TEXT($J17,"0.0000")&amp;"|Y",Prices!$AA$2:$AA$103,0)),"none")</f>
        <v/>
      </c>
      <c r="M17" s="8">
        <f>IF($G17=0,"NO PRICE",IF($G17=1,"Single source",""))</f>
        <v/>
      </c>
    </row>
    <row r="18">
      <c r="A18" s="8" t="inlineStr">
        <is>
          <t>IC16</t>
        </is>
      </c>
      <c r="B18" s="8" t="inlineStr">
        <is>
          <t>Timer</t>
        </is>
      </c>
      <c r="C18" s="8" t="inlineStr">
        <is>
          <t>NE555P</t>
        </is>
      </c>
      <c r="D18" s="8" t="inlineStr">
        <is>
          <t>555 timer, DIP-8</t>
        </is>
      </c>
      <c r="E18" s="12" t="n">
        <v>4</v>
      </c>
      <c r="F18" s="8" t="inlineStr">
        <is>
          <t>Clock (3), Display driver (1)</t>
        </is>
      </c>
      <c r="G18" s="8">
        <f>COUNTIFS(Prices!$A$2:$A$103,$A18,Prices!$L$2:$L$103,"Y",Prices!$E$2:$E$103,"&gt;0")</f>
        <v/>
      </c>
      <c r="H18" s="7">
        <f>_xlfn.MINIFS(Prices!$W$2:$W$103,Prices!$A$2:$A$103,$A18,Prices!$L$2:$L$103,"Y",Prices!$W$2:$W$103,"&gt;0")</f>
        <v/>
      </c>
      <c r="I18" s="7">
        <f>_xlfn.MINIFS(Prices!$X$2:$X$103,Prices!$A$2:$A$103,$A18,Prices!$L$2:$L$103,"Y",Prices!$X$2:$X$103,"&gt;0")</f>
        <v/>
      </c>
      <c r="J18" s="7">
        <f>_xlfn.MINIFS(Prices!$Y$2:$Y$103,Prices!$A$2:$A$103,$A18,Prices!$L$2:$L$103,"Y",Prices!$Y$2:$Y$103,"&gt;0")</f>
        <v/>
      </c>
      <c r="K18" s="8">
        <f>IFERROR(INDEX(Prices!$B$2:$B$103,MATCH($A18&amp;"|"&amp;TEXT($H18,"0.0000")&amp;"|Y",Prices!$Z$2:$Z$103,0)),"none")</f>
        <v/>
      </c>
      <c r="L18" s="8">
        <f>IFERROR(INDEX(Prices!$B$2:$B$103,MATCH($A18&amp;"|"&amp;TEXT($J18,"0.0000")&amp;"|Y",Prices!$AA$2:$AA$103,0)),"none")</f>
        <v/>
      </c>
      <c r="M18" s="8">
        <f>IF($G18=0,"NO PRICE",IF($G18=1,"Single source",""))</f>
        <v/>
      </c>
    </row>
    <row r="19">
      <c r="A19" s="8" t="inlineStr">
        <is>
          <t>IC17</t>
        </is>
      </c>
      <c r="B19" s="8" t="inlineStr">
        <is>
          <t>Memory</t>
        </is>
      </c>
      <c r="C19" s="8" t="inlineStr">
        <is>
          <t>AS6C62256-55PCN</t>
        </is>
      </c>
      <c r="D19" s="8" t="inlineStr">
        <is>
          <t>32K × 8 static RAM, DIP-28 (0.6 in wide)</t>
        </is>
      </c>
      <c r="E19" s="12" t="n">
        <v>1</v>
      </c>
      <c r="F19" s="8" t="inlineStr">
        <is>
          <t>RAM</t>
        </is>
      </c>
      <c r="G19" s="8">
        <f>COUNTIFS(Prices!$A$2:$A$103,$A19,Prices!$L$2:$L$103,"Y",Prices!$E$2:$E$103,"&gt;0")</f>
        <v/>
      </c>
      <c r="H19" s="7">
        <f>_xlfn.MINIFS(Prices!$W$2:$W$103,Prices!$A$2:$A$103,$A19,Prices!$L$2:$L$103,"Y",Prices!$W$2:$W$103,"&gt;0")</f>
        <v/>
      </c>
      <c r="I19" s="7">
        <f>_xlfn.MINIFS(Prices!$X$2:$X$103,Prices!$A$2:$A$103,$A19,Prices!$L$2:$L$103,"Y",Prices!$X$2:$X$103,"&gt;0")</f>
        <v/>
      </c>
      <c r="J19" s="7">
        <f>_xlfn.MINIFS(Prices!$Y$2:$Y$103,Prices!$A$2:$A$103,$A19,Prices!$L$2:$L$103,"Y",Prices!$Y$2:$Y$103,"&gt;0")</f>
        <v/>
      </c>
      <c r="K19" s="8">
        <f>IFERROR(INDEX(Prices!$B$2:$B$103,MATCH($A19&amp;"|"&amp;TEXT($H19,"0.0000")&amp;"|Y",Prices!$Z$2:$Z$103,0)),"none")</f>
        <v/>
      </c>
      <c r="L19" s="8">
        <f>IFERROR(INDEX(Prices!$B$2:$B$103,MATCH($A19&amp;"|"&amp;TEXT($J19,"0.0000")&amp;"|Y",Prices!$AA$2:$AA$103,0)),"none")</f>
        <v/>
      </c>
      <c r="M19" s="8">
        <f>IF($G19=0,"NO PRICE",IF($G19=1,"Single source",""))</f>
        <v/>
      </c>
    </row>
    <row r="20">
      <c r="A20" s="8" t="inlineStr">
        <is>
          <t>IC18</t>
        </is>
      </c>
      <c r="B20" s="8" t="inlineStr">
        <is>
          <t>Memory</t>
        </is>
      </c>
      <c r="C20" s="8" t="inlineStr">
        <is>
          <t>AT28C256-15PU</t>
        </is>
      </c>
      <c r="D20" s="8" t="inlineStr">
        <is>
          <t>32K × 8 parallel EEPROM, DIP-28 (0.6 in wide)</t>
        </is>
      </c>
      <c r="E20" s="12" t="n">
        <v>4</v>
      </c>
      <c r="F20" s="8" t="inlineStr">
        <is>
          <t>Control ROMs (3), Output (1)</t>
        </is>
      </c>
      <c r="G20" s="8">
        <f>COUNTIFS(Prices!$A$2:$A$103,$A20,Prices!$L$2:$L$103,"Y",Prices!$E$2:$E$103,"&gt;0")</f>
        <v/>
      </c>
      <c r="H20" s="7">
        <f>_xlfn.MINIFS(Prices!$W$2:$W$103,Prices!$A$2:$A$103,$A20,Prices!$L$2:$L$103,"Y",Prices!$W$2:$W$103,"&gt;0")</f>
        <v/>
      </c>
      <c r="I20" s="7">
        <f>_xlfn.MINIFS(Prices!$X$2:$X$103,Prices!$A$2:$A$103,$A20,Prices!$L$2:$L$103,"Y",Prices!$X$2:$X$103,"&gt;0")</f>
        <v/>
      </c>
      <c r="J20" s="7">
        <f>_xlfn.MINIFS(Prices!$Y$2:$Y$103,Prices!$A$2:$A$103,$A20,Prices!$L$2:$L$103,"Y",Prices!$Y$2:$Y$103,"&gt;0")</f>
        <v/>
      </c>
      <c r="K20" s="8">
        <f>IFERROR(INDEX(Prices!$B$2:$B$103,MATCH($A20&amp;"|"&amp;TEXT($H20,"0.0000")&amp;"|Y",Prices!$Z$2:$Z$103,0)),"none")</f>
        <v/>
      </c>
      <c r="L20" s="8">
        <f>IFERROR(INDEX(Prices!$B$2:$B$103,MATCH($A20&amp;"|"&amp;TEXT($J20,"0.0000")&amp;"|Y",Prices!$AA$2:$AA$103,0)),"none")</f>
        <v/>
      </c>
      <c r="M20" s="8">
        <f>IF($G20=0,"NO PRICE",IF($G20=1,"Single source",""))</f>
        <v/>
      </c>
    </row>
    <row r="21">
      <c r="A21" s="8" t="inlineStr">
        <is>
          <t>Q01</t>
        </is>
      </c>
      <c r="B21" s="8" t="inlineStr">
        <is>
          <t>Semiconductors</t>
        </is>
      </c>
      <c r="C21" s="8" t="inlineStr">
        <is>
          <t>2N3906</t>
        </is>
      </c>
      <c r="D21" s="8" t="inlineStr">
        <is>
          <t>PNP transistor, TO-92</t>
        </is>
      </c>
      <c r="E21" s="12" t="n">
        <v>4</v>
      </c>
      <c r="F21" s="8" t="inlineStr">
        <is>
          <t>Display driver</t>
        </is>
      </c>
      <c r="G21" s="8">
        <f>COUNTIFS(Prices!$A$2:$A$103,$A21,Prices!$L$2:$L$103,"Y",Prices!$E$2:$E$103,"&gt;0")</f>
        <v/>
      </c>
      <c r="H21" s="7">
        <f>_xlfn.MINIFS(Prices!$W$2:$W$103,Prices!$A$2:$A$103,$A21,Prices!$L$2:$L$103,"Y",Prices!$W$2:$W$103,"&gt;0")</f>
        <v/>
      </c>
      <c r="I21" s="7">
        <f>_xlfn.MINIFS(Prices!$X$2:$X$103,Prices!$A$2:$A$103,$A21,Prices!$L$2:$L$103,"Y",Prices!$X$2:$X$103,"&gt;0")</f>
        <v/>
      </c>
      <c r="J21" s="7">
        <f>_xlfn.MINIFS(Prices!$Y$2:$Y$103,Prices!$A$2:$A$103,$A21,Prices!$L$2:$L$103,"Y",Prices!$Y$2:$Y$103,"&gt;0")</f>
        <v/>
      </c>
      <c r="K21" s="8">
        <f>IFERROR(INDEX(Prices!$B$2:$B$103,MATCH($A21&amp;"|"&amp;TEXT($H21,"0.0000")&amp;"|Y",Prices!$Z$2:$Z$103,0)),"none")</f>
        <v/>
      </c>
      <c r="L21" s="8">
        <f>IFERROR(INDEX(Prices!$B$2:$B$103,MATCH($A21&amp;"|"&amp;TEXT($J21,"0.0000")&amp;"|Y",Prices!$AA$2:$AA$103,0)),"none")</f>
        <v/>
      </c>
      <c r="M21" s="8">
        <f>IF($G21=0,"NO PRICE",IF($G21=1,"Single source",""))</f>
        <v/>
      </c>
    </row>
    <row r="22">
      <c r="A22" s="8" t="inlineStr">
        <is>
          <t>DS2</t>
        </is>
      </c>
      <c r="B22" s="8" t="inlineStr">
        <is>
          <t>Display</t>
        </is>
      </c>
      <c r="C22" s="8" t="inlineStr">
        <is>
          <t>7-segment 0.56 in common anode, red</t>
        </is>
      </c>
      <c r="D22" s="8" t="inlineStr">
        <is>
          <t>single digit</t>
        </is>
      </c>
      <c r="E22" s="12" t="n">
        <v>4</v>
      </c>
      <c r="F22" s="8" t="inlineStr">
        <is>
          <t>Display</t>
        </is>
      </c>
      <c r="G22" s="8">
        <f>COUNTIFS(Prices!$A$2:$A$103,$A22,Prices!$L$2:$L$103,"Y",Prices!$E$2:$E$103,"&gt;0")</f>
        <v/>
      </c>
      <c r="H22" s="7">
        <f>_xlfn.MINIFS(Prices!$W$2:$W$103,Prices!$A$2:$A$103,$A22,Prices!$L$2:$L$103,"Y",Prices!$W$2:$W$103,"&gt;0")</f>
        <v/>
      </c>
      <c r="I22" s="7">
        <f>_xlfn.MINIFS(Prices!$X$2:$X$103,Prices!$A$2:$A$103,$A22,Prices!$L$2:$L$103,"Y",Prices!$X$2:$X$103,"&gt;0")</f>
        <v/>
      </c>
      <c r="J22" s="7">
        <f>_xlfn.MINIFS(Prices!$Y$2:$Y$103,Prices!$A$2:$A$103,$A22,Prices!$L$2:$L$103,"Y",Prices!$Y$2:$Y$103,"&gt;0")</f>
        <v/>
      </c>
      <c r="K22" s="8">
        <f>IFERROR(INDEX(Prices!$B$2:$B$103,MATCH($A22&amp;"|"&amp;TEXT($H22,"0.0000")&amp;"|Y",Prices!$Z$2:$Z$103,0)),"none")</f>
        <v/>
      </c>
      <c r="L22" s="8">
        <f>IFERROR(INDEX(Prices!$B$2:$B$103,MATCH($A22&amp;"|"&amp;TEXT($J22,"0.0000")&amp;"|Y",Prices!$AA$2:$AA$103,0)),"none")</f>
        <v/>
      </c>
      <c r="M22" s="8">
        <f>IF($G22=0,"NO PRICE",IF($G22=1,"Single source",""))</f>
        <v/>
      </c>
    </row>
    <row r="23">
      <c r="A23" s="8" t="inlineStr">
        <is>
          <t>LED1</t>
        </is>
      </c>
      <c r="B23" s="8" t="inlineStr">
        <is>
          <t>Indicators</t>
        </is>
      </c>
      <c r="C23" s="8" t="inlineStr">
        <is>
          <t>3 mm LED, red</t>
        </is>
      </c>
      <c r="D23" s="8" t="inlineStr">
        <is>
          <t>48 used + spares</t>
        </is>
      </c>
      <c r="E23" s="12" t="n">
        <v>50</v>
      </c>
      <c r="F23" s="8" t="inlineStr">
        <is>
          <t>Bus, A, B, ALU, RAM, Output</t>
        </is>
      </c>
      <c r="G23" s="8">
        <f>COUNTIFS(Prices!$A$2:$A$103,$A23,Prices!$L$2:$L$103,"Y",Prices!$E$2:$E$103,"&gt;0")</f>
        <v/>
      </c>
      <c r="H23" s="7">
        <f>_xlfn.MINIFS(Prices!$W$2:$W$103,Prices!$A$2:$A$103,$A23,Prices!$L$2:$L$103,"Y",Prices!$W$2:$W$103,"&gt;0")</f>
        <v/>
      </c>
      <c r="I23" s="7">
        <f>_xlfn.MINIFS(Prices!$X$2:$X$103,Prices!$A$2:$A$103,$A23,Prices!$L$2:$L$103,"Y",Prices!$X$2:$X$103,"&gt;0")</f>
        <v/>
      </c>
      <c r="J23" s="7">
        <f>_xlfn.MINIFS(Prices!$Y$2:$Y$103,Prices!$A$2:$A$103,$A23,Prices!$L$2:$L$103,"Y",Prices!$Y$2:$Y$103,"&gt;0")</f>
        <v/>
      </c>
      <c r="K23" s="8">
        <f>IFERROR(INDEX(Prices!$B$2:$B$103,MATCH($A23&amp;"|"&amp;TEXT($H23,"0.0000")&amp;"|Y",Prices!$Z$2:$Z$103,0)),"none")</f>
        <v/>
      </c>
      <c r="L23" s="8">
        <f>IFERROR(INDEX(Prices!$B$2:$B$103,MATCH($A23&amp;"|"&amp;TEXT($J23,"0.0000")&amp;"|Y",Prices!$AA$2:$AA$103,0)),"none")</f>
        <v/>
      </c>
      <c r="M23" s="8">
        <f>IF($G23=0,"NO PRICE",IF($G23=1,"Single source",""))</f>
        <v/>
      </c>
    </row>
    <row r="24">
      <c r="A24" s="8" t="inlineStr">
        <is>
          <t>LED2</t>
        </is>
      </c>
      <c r="B24" s="8" t="inlineStr">
        <is>
          <t>Indicators</t>
        </is>
      </c>
      <c r="C24" s="8" t="inlineStr">
        <is>
          <t>3 mm LED, green</t>
        </is>
      </c>
      <c r="D24" s="8" t="inlineStr">
        <is>
          <t>30 used + spares</t>
        </is>
      </c>
      <c r="E24" s="12" t="n">
        <v>32</v>
      </c>
      <c r="F24" s="8" t="inlineStr">
        <is>
          <t>Control, PC</t>
        </is>
      </c>
      <c r="G24" s="8">
        <f>COUNTIFS(Prices!$A$2:$A$103,$A24,Prices!$L$2:$L$103,"Y",Prices!$E$2:$E$103,"&gt;0")</f>
        <v/>
      </c>
      <c r="H24" s="7">
        <f>_xlfn.MINIFS(Prices!$W$2:$W$103,Prices!$A$2:$A$103,$A24,Prices!$L$2:$L$103,"Y",Prices!$W$2:$W$103,"&gt;0")</f>
        <v/>
      </c>
      <c r="I24" s="7">
        <f>_xlfn.MINIFS(Prices!$X$2:$X$103,Prices!$A$2:$A$103,$A24,Prices!$L$2:$L$103,"Y",Prices!$X$2:$X$103,"&gt;0")</f>
        <v/>
      </c>
      <c r="J24" s="7">
        <f>_xlfn.MINIFS(Prices!$Y$2:$Y$103,Prices!$A$2:$A$103,$A24,Prices!$L$2:$L$103,"Y",Prices!$Y$2:$Y$103,"&gt;0")</f>
        <v/>
      </c>
      <c r="K24" s="8">
        <f>IFERROR(INDEX(Prices!$B$2:$B$103,MATCH($A24&amp;"|"&amp;TEXT($H24,"0.0000")&amp;"|Y",Prices!$Z$2:$Z$103,0)),"none")</f>
        <v/>
      </c>
      <c r="L24" s="8">
        <f>IFERROR(INDEX(Prices!$B$2:$B$103,MATCH($A24&amp;"|"&amp;TEXT($J24,"0.0000")&amp;"|Y",Prices!$AA$2:$AA$103,0)),"none")</f>
        <v/>
      </c>
      <c r="M24" s="8">
        <f>IF($G24=0,"NO PRICE",IF($G24=1,"Single source",""))</f>
        <v/>
      </c>
    </row>
    <row r="25">
      <c r="A25" s="8" t="inlineStr">
        <is>
          <t>LED3</t>
        </is>
      </c>
      <c r="B25" s="8" t="inlineStr">
        <is>
          <t>Indicators</t>
        </is>
      </c>
      <c r="C25" s="8" t="inlineStr">
        <is>
          <t>3 mm LED, yellow</t>
        </is>
      </c>
      <c r="D25" s="8" t="inlineStr">
        <is>
          <t>8 used + spares</t>
        </is>
      </c>
      <c r="E25" s="12" t="n">
        <v>10</v>
      </c>
      <c r="F25" s="8" t="inlineStr">
        <is>
          <t>Clock, Flags, MAR, Front panel</t>
        </is>
      </c>
      <c r="G25" s="8">
        <f>COUNTIFS(Prices!$A$2:$A$103,$A25,Prices!$L$2:$L$103,"Y",Prices!$E$2:$E$103,"&gt;0")</f>
        <v/>
      </c>
      <c r="H25" s="7">
        <f>_xlfn.MINIFS(Prices!$W$2:$W$103,Prices!$A$2:$A$103,$A25,Prices!$L$2:$L$103,"Y",Prices!$W$2:$W$103,"&gt;0")</f>
        <v/>
      </c>
      <c r="I25" s="7">
        <f>_xlfn.MINIFS(Prices!$X$2:$X$103,Prices!$A$2:$A$103,$A25,Prices!$L$2:$L$103,"Y",Prices!$X$2:$X$103,"&gt;0")</f>
        <v/>
      </c>
      <c r="J25" s="7">
        <f>_xlfn.MINIFS(Prices!$Y$2:$Y$103,Prices!$A$2:$A$103,$A25,Prices!$L$2:$L$103,"Y",Prices!$Y$2:$Y$103,"&gt;0")</f>
        <v/>
      </c>
      <c r="K25" s="8">
        <f>IFERROR(INDEX(Prices!$B$2:$B$103,MATCH($A25&amp;"|"&amp;TEXT($H25,"0.0000")&amp;"|Y",Prices!$Z$2:$Z$103,0)),"none")</f>
        <v/>
      </c>
      <c r="L25" s="8">
        <f>IFERROR(INDEX(Prices!$B$2:$B$103,MATCH($A25&amp;"|"&amp;TEXT($J25,"0.0000")&amp;"|Y",Prices!$AA$2:$AA$103,0)),"none")</f>
        <v/>
      </c>
      <c r="M25" s="8">
        <f>IF($G25=0,"NO PRICE",IF($G25=1,"Single source",""))</f>
        <v/>
      </c>
    </row>
    <row r="26">
      <c r="A26" s="8" t="inlineStr">
        <is>
          <t>LEDB</t>
        </is>
      </c>
      <c r="B26" s="8" t="inlineStr">
        <is>
          <t>Indicators</t>
        </is>
      </c>
      <c r="C26" s="8" t="inlineStr">
        <is>
          <t>3 mm LED, blue</t>
        </is>
      </c>
      <c r="D26" s="8" t="inlineStr">
        <is>
          <t>8 used + spares</t>
        </is>
      </c>
      <c r="E26" s="12" t="n">
        <v>10</v>
      </c>
      <c r="F26" s="8" t="inlineStr">
        <is>
          <t>Instruction register</t>
        </is>
      </c>
      <c r="G26" s="8">
        <f>COUNTIFS(Prices!$A$2:$A$103,$A26,Prices!$L$2:$L$103,"Y",Prices!$E$2:$E$103,"&gt;0")</f>
        <v/>
      </c>
      <c r="H26" s="7">
        <f>_xlfn.MINIFS(Prices!$W$2:$W$103,Prices!$A$2:$A$103,$A26,Prices!$L$2:$L$103,"Y",Prices!$W$2:$W$103,"&gt;0")</f>
        <v/>
      </c>
      <c r="I26" s="7">
        <f>_xlfn.MINIFS(Prices!$X$2:$X$103,Prices!$A$2:$A$103,$A26,Prices!$L$2:$L$103,"Y",Prices!$X$2:$X$103,"&gt;0")</f>
        <v/>
      </c>
      <c r="J26" s="7">
        <f>_xlfn.MINIFS(Prices!$Y$2:$Y$103,Prices!$A$2:$A$103,$A26,Prices!$L$2:$L$103,"Y",Prices!$Y$2:$Y$103,"&gt;0")</f>
        <v/>
      </c>
      <c r="K26" s="8">
        <f>IFERROR(INDEX(Prices!$B$2:$B$103,MATCH($A26&amp;"|"&amp;TEXT($H26,"0.0000")&amp;"|Y",Prices!$Z$2:$Z$103,0)),"none")</f>
        <v/>
      </c>
      <c r="L26" s="8">
        <f>IFERROR(INDEX(Prices!$B$2:$B$103,MATCH($A26&amp;"|"&amp;TEXT($J26,"0.0000")&amp;"|Y",Prices!$AA$2:$AA$103,0)),"none")</f>
        <v/>
      </c>
      <c r="M26" s="8">
        <f>IF($G26=0,"NO PRICE",IF($G26=1,"Single source",""))</f>
        <v/>
      </c>
    </row>
    <row r="27">
      <c r="A27" s="8" t="inlineStr">
        <is>
          <t>R01</t>
        </is>
      </c>
      <c r="B27" s="8" t="inlineStr">
        <is>
          <t>Resistors</t>
        </is>
      </c>
      <c r="C27" s="8" t="inlineStr">
        <is>
          <t>Resistor 1 kΩ 1/4 W</t>
        </is>
      </c>
      <c r="D27" s="8" t="inlineStr">
        <is>
          <t>72 used + spares</t>
        </is>
      </c>
      <c r="E27" s="12" t="n">
        <v>80</v>
      </c>
      <c r="F27" s="8" t="inlineStr">
        <is>
          <t>LEDs, Front panel (RST pull-down)</t>
        </is>
      </c>
      <c r="G27" s="8">
        <f>COUNTIFS(Prices!$A$2:$A$103,$A27,Prices!$L$2:$L$103,"Y",Prices!$E$2:$E$103,"&gt;0")</f>
        <v/>
      </c>
      <c r="H27" s="7">
        <f>_xlfn.MINIFS(Prices!$W$2:$W$103,Prices!$A$2:$A$103,$A27,Prices!$L$2:$L$103,"Y",Prices!$W$2:$W$103,"&gt;0")</f>
        <v/>
      </c>
      <c r="I27" s="7">
        <f>_xlfn.MINIFS(Prices!$X$2:$X$103,Prices!$A$2:$A$103,$A27,Prices!$L$2:$L$103,"Y",Prices!$X$2:$X$103,"&gt;0")</f>
        <v/>
      </c>
      <c r="J27" s="7">
        <f>_xlfn.MINIFS(Prices!$Y$2:$Y$103,Prices!$A$2:$A$103,$A27,Prices!$L$2:$L$103,"Y",Prices!$Y$2:$Y$103,"&gt;0")</f>
        <v/>
      </c>
      <c r="K27" s="8">
        <f>IFERROR(INDEX(Prices!$B$2:$B$103,MATCH($A27&amp;"|"&amp;TEXT($H27,"0.0000")&amp;"|Y",Prices!$Z$2:$Z$103,0)),"none")</f>
        <v/>
      </c>
      <c r="L27" s="8">
        <f>IFERROR(INDEX(Prices!$B$2:$B$103,MATCH($A27&amp;"|"&amp;TEXT($J27,"0.0000")&amp;"|Y",Prices!$AA$2:$AA$103,0)),"none")</f>
        <v/>
      </c>
      <c r="M27" s="8">
        <f>IF($G27=0,"NO PRICE",IF($G27=1,"Single source",""))</f>
        <v/>
      </c>
    </row>
    <row r="28">
      <c r="A28" s="8" t="inlineStr">
        <is>
          <t>R2k2</t>
        </is>
      </c>
      <c r="B28" s="8" t="inlineStr">
        <is>
          <t>Resistors</t>
        </is>
      </c>
      <c r="C28" s="8" t="inlineStr">
        <is>
          <t>Resistor 2.2 kΩ 1/4 W</t>
        </is>
      </c>
      <c r="D28" s="8" t="inlineStr">
        <is>
          <t>30 used + spares</t>
        </is>
      </c>
      <c r="E28" s="12" t="n">
        <v>35</v>
      </c>
      <c r="F28" s="8" t="inlineStr">
        <is>
          <t>Control LEDs, RAM LEDs, PNP bases</t>
        </is>
      </c>
      <c r="G28" s="8">
        <f>COUNTIFS(Prices!$A$2:$A$103,$A28,Prices!$L$2:$L$103,"Y",Prices!$E$2:$E$103,"&gt;0")</f>
        <v/>
      </c>
      <c r="H28" s="7">
        <f>_xlfn.MINIFS(Prices!$W$2:$W$103,Prices!$A$2:$A$103,$A28,Prices!$L$2:$L$103,"Y",Prices!$W$2:$W$103,"&gt;0")</f>
        <v/>
      </c>
      <c r="I28" s="7">
        <f>_xlfn.MINIFS(Prices!$X$2:$X$103,Prices!$A$2:$A$103,$A28,Prices!$L$2:$L$103,"Y",Prices!$X$2:$X$103,"&gt;0")</f>
        <v/>
      </c>
      <c r="J28" s="7">
        <f>_xlfn.MINIFS(Prices!$Y$2:$Y$103,Prices!$A$2:$A$103,$A28,Prices!$L$2:$L$103,"Y",Prices!$Y$2:$Y$103,"&gt;0")</f>
        <v/>
      </c>
      <c r="K28" s="8">
        <f>IFERROR(INDEX(Prices!$B$2:$B$103,MATCH($A28&amp;"|"&amp;TEXT($H28,"0.0000")&amp;"|Y",Prices!$Z$2:$Z$103,0)),"none")</f>
        <v/>
      </c>
      <c r="L28" s="8">
        <f>IFERROR(INDEX(Prices!$B$2:$B$103,MATCH($A28&amp;"|"&amp;TEXT($J28,"0.0000")&amp;"|Y",Prices!$AA$2:$AA$103,0)),"none")</f>
        <v/>
      </c>
      <c r="M28" s="8">
        <f>IF($G28=0,"NO PRICE",IF($G28=1,"Single source",""))</f>
        <v/>
      </c>
    </row>
    <row r="29">
      <c r="A29" s="8" t="inlineStr">
        <is>
          <t>R02</t>
        </is>
      </c>
      <c r="B29" s="8" t="inlineStr">
        <is>
          <t>Resistors</t>
        </is>
      </c>
      <c r="C29" s="8" t="inlineStr">
        <is>
          <t>Resistor 10 kΩ 1/4 W</t>
        </is>
      </c>
      <c r="D29" s="8" t="inlineStr">
        <is>
          <t>7 used + spares (incl. PROG pull-down and programmer WE pull-up)</t>
        </is>
      </c>
      <c r="E29" s="12" t="n">
        <v>10</v>
      </c>
      <c r="F29" s="8" t="inlineStr">
        <is>
          <t>Front panel, Display driver, programmer</t>
        </is>
      </c>
      <c r="G29" s="8">
        <f>COUNTIFS(Prices!$A$2:$A$103,$A29,Prices!$L$2:$L$103,"Y",Prices!$E$2:$E$103,"&gt;0")</f>
        <v/>
      </c>
      <c r="H29" s="7">
        <f>_xlfn.MINIFS(Prices!$W$2:$W$103,Prices!$A$2:$A$103,$A29,Prices!$L$2:$L$103,"Y",Prices!$W$2:$W$103,"&gt;0")</f>
        <v/>
      </c>
      <c r="I29" s="7">
        <f>_xlfn.MINIFS(Prices!$X$2:$X$103,Prices!$A$2:$A$103,$A29,Prices!$L$2:$L$103,"Y",Prices!$X$2:$X$103,"&gt;0")</f>
        <v/>
      </c>
      <c r="J29" s="7">
        <f>_xlfn.MINIFS(Prices!$Y$2:$Y$103,Prices!$A$2:$A$103,$A29,Prices!$L$2:$L$103,"Y",Prices!$Y$2:$Y$103,"&gt;0")</f>
        <v/>
      </c>
      <c r="K29" s="8">
        <f>IFERROR(INDEX(Prices!$B$2:$B$103,MATCH($A29&amp;"|"&amp;TEXT($H29,"0.0000")&amp;"|Y",Prices!$Z$2:$Z$103,0)),"none")</f>
        <v/>
      </c>
      <c r="L29" s="8">
        <f>IFERROR(INDEX(Prices!$B$2:$B$103,MATCH($A29&amp;"|"&amp;TEXT($J29,"0.0000")&amp;"|Y",Prices!$AA$2:$AA$103,0)),"none")</f>
        <v/>
      </c>
      <c r="M29" s="8">
        <f>IF($G29=0,"NO PRICE",IF($G29=1,"Single source",""))</f>
        <v/>
      </c>
    </row>
    <row r="30">
      <c r="A30" s="8" t="inlineStr">
        <is>
          <t>R100k</t>
        </is>
      </c>
      <c r="B30" s="8" t="inlineStr">
        <is>
          <t>Resistors</t>
        </is>
      </c>
      <c r="C30" s="8" t="inlineStr">
        <is>
          <t>Resistor 100 kΩ 1/4 W</t>
        </is>
      </c>
      <c r="D30" s="8" t="inlineStr"/>
      <c r="E30" s="12" t="n">
        <v>1</v>
      </c>
      <c r="F30" s="8" t="inlineStr">
        <is>
          <t>Clock</t>
        </is>
      </c>
      <c r="G30" s="8">
        <f>COUNTIFS(Prices!$A$2:$A$103,$A30,Prices!$L$2:$L$103,"Y",Prices!$E$2:$E$103,"&gt;0")</f>
        <v/>
      </c>
      <c r="H30" s="7">
        <f>_xlfn.MINIFS(Prices!$W$2:$W$103,Prices!$A$2:$A$103,$A30,Prices!$L$2:$L$103,"Y",Prices!$W$2:$W$103,"&gt;0")</f>
        <v/>
      </c>
      <c r="I30" s="7">
        <f>_xlfn.MINIFS(Prices!$X$2:$X$103,Prices!$A$2:$A$103,$A30,Prices!$L$2:$L$103,"Y",Prices!$X$2:$X$103,"&gt;0")</f>
        <v/>
      </c>
      <c r="J30" s="7">
        <f>_xlfn.MINIFS(Prices!$Y$2:$Y$103,Prices!$A$2:$A$103,$A30,Prices!$L$2:$L$103,"Y",Prices!$Y$2:$Y$103,"&gt;0")</f>
        <v/>
      </c>
      <c r="K30" s="8">
        <f>IFERROR(INDEX(Prices!$B$2:$B$103,MATCH($A30&amp;"|"&amp;TEXT($H30,"0.0000")&amp;"|Y",Prices!$Z$2:$Z$103,0)),"none")</f>
        <v/>
      </c>
      <c r="L30" s="8">
        <f>IFERROR(INDEX(Prices!$B$2:$B$103,MATCH($A30&amp;"|"&amp;TEXT($J30,"0.0000")&amp;"|Y",Prices!$AA$2:$AA$103,0)),"none")</f>
        <v/>
      </c>
      <c r="M30" s="8">
        <f>IF($G30=0,"NO PRICE",IF($G30=1,"Single source",""))</f>
        <v/>
      </c>
    </row>
    <row r="31">
      <c r="A31" s="8" t="inlineStr">
        <is>
          <t>R470</t>
        </is>
      </c>
      <c r="B31" s="8" t="inlineStr">
        <is>
          <t>Resistors</t>
        </is>
      </c>
      <c r="C31" s="8" t="inlineStr">
        <is>
          <t>Resistor 470 Ω 1/4 W</t>
        </is>
      </c>
      <c r="D31" s="8" t="inlineStr">
        <is>
          <t>8 used + spares</t>
        </is>
      </c>
      <c r="E31" s="12" t="n">
        <v>10</v>
      </c>
      <c r="F31" s="8" t="inlineStr">
        <is>
          <t>Display</t>
        </is>
      </c>
      <c r="G31" s="8">
        <f>COUNTIFS(Prices!$A$2:$A$103,$A31,Prices!$L$2:$L$103,"Y",Prices!$E$2:$E$103,"&gt;0")</f>
        <v/>
      </c>
      <c r="H31" s="7">
        <f>_xlfn.MINIFS(Prices!$W$2:$W$103,Prices!$A$2:$A$103,$A31,Prices!$L$2:$L$103,"Y",Prices!$W$2:$W$103,"&gt;0")</f>
        <v/>
      </c>
      <c r="I31" s="7">
        <f>_xlfn.MINIFS(Prices!$X$2:$X$103,Prices!$A$2:$A$103,$A31,Prices!$L$2:$L$103,"Y",Prices!$X$2:$X$103,"&gt;0")</f>
        <v/>
      </c>
      <c r="J31" s="7">
        <f>_xlfn.MINIFS(Prices!$Y$2:$Y$103,Prices!$A$2:$A$103,$A31,Prices!$L$2:$L$103,"Y",Prices!$Y$2:$Y$103,"&gt;0")</f>
        <v/>
      </c>
      <c r="K31" s="8">
        <f>IFERROR(INDEX(Prices!$B$2:$B$103,MATCH($A31&amp;"|"&amp;TEXT($H31,"0.0000")&amp;"|Y",Prices!$Z$2:$Z$103,0)),"none")</f>
        <v/>
      </c>
      <c r="L31" s="8">
        <f>IFERROR(INDEX(Prices!$B$2:$B$103,MATCH($A31&amp;"|"&amp;TEXT($J31,"0.0000")&amp;"|Y",Prices!$AA$2:$AA$103,0)),"none")</f>
        <v/>
      </c>
      <c r="M31" s="8">
        <f>IF($G31=0,"NO PRICE",IF($G31=1,"Single source",""))</f>
        <v/>
      </c>
    </row>
    <row r="32">
      <c r="A32" s="8" t="inlineStr">
        <is>
          <t>RN8</t>
        </is>
      </c>
      <c r="B32" s="8" t="inlineStr">
        <is>
          <t>Resistors</t>
        </is>
      </c>
      <c r="C32" s="8" t="inlineStr">
        <is>
          <t>Resistor network SIP-9 bussed 8 × 10 kΩ</t>
        </is>
      </c>
      <c r="D32" s="8" t="inlineStr"/>
      <c r="E32" s="12" t="n">
        <v>4</v>
      </c>
      <c r="F32" s="8" t="inlineStr">
        <is>
          <t>Bus, Front panel</t>
        </is>
      </c>
      <c r="G32" s="8">
        <f>COUNTIFS(Prices!$A$2:$A$103,$A32,Prices!$L$2:$L$103,"Y",Prices!$E$2:$E$103,"&gt;0")</f>
        <v/>
      </c>
      <c r="H32" s="7">
        <f>_xlfn.MINIFS(Prices!$W$2:$W$103,Prices!$A$2:$A$103,$A32,Prices!$L$2:$L$103,"Y",Prices!$W$2:$W$103,"&gt;0")</f>
        <v/>
      </c>
      <c r="I32" s="7">
        <f>_xlfn.MINIFS(Prices!$X$2:$X$103,Prices!$A$2:$A$103,$A32,Prices!$L$2:$L$103,"Y",Prices!$X$2:$X$103,"&gt;0")</f>
        <v/>
      </c>
      <c r="J32" s="7">
        <f>_xlfn.MINIFS(Prices!$Y$2:$Y$103,Prices!$A$2:$A$103,$A32,Prices!$L$2:$L$103,"Y",Prices!$Y$2:$Y$103,"&gt;0")</f>
        <v/>
      </c>
      <c r="K32" s="8">
        <f>IFERROR(INDEX(Prices!$B$2:$B$103,MATCH($A32&amp;"|"&amp;TEXT($H32,"0.0000")&amp;"|Y",Prices!$Z$2:$Z$103,0)),"none")</f>
        <v/>
      </c>
      <c r="L32" s="8">
        <f>IFERROR(INDEX(Prices!$B$2:$B$103,MATCH($A32&amp;"|"&amp;TEXT($J32,"0.0000")&amp;"|Y",Prices!$AA$2:$AA$103,0)),"none")</f>
        <v/>
      </c>
      <c r="M32" s="8">
        <f>IF($G32=0,"NO PRICE",IF($G32=1,"Single source",""))</f>
        <v/>
      </c>
    </row>
    <row r="33">
      <c r="A33" s="8" t="inlineStr">
        <is>
          <t>RN4</t>
        </is>
      </c>
      <c r="B33" s="8" t="inlineStr">
        <is>
          <t>Resistors</t>
        </is>
      </c>
      <c r="C33" s="8" t="inlineStr">
        <is>
          <t>Resistor network SIP-5 bussed 4 × 10 kΩ</t>
        </is>
      </c>
      <c r="D33" s="8" t="inlineStr"/>
      <c r="E33" s="12" t="n">
        <v>1</v>
      </c>
      <c r="F33" s="8" t="inlineStr">
        <is>
          <t>Front panel</t>
        </is>
      </c>
      <c r="G33" s="8">
        <f>COUNTIFS(Prices!$A$2:$A$103,$A33,Prices!$L$2:$L$103,"Y",Prices!$E$2:$E$103,"&gt;0")</f>
        <v/>
      </c>
      <c r="H33" s="7">
        <f>_xlfn.MINIFS(Prices!$W$2:$W$103,Prices!$A$2:$A$103,$A33,Prices!$L$2:$L$103,"Y",Prices!$W$2:$W$103,"&gt;0")</f>
        <v/>
      </c>
      <c r="I33" s="7">
        <f>_xlfn.MINIFS(Prices!$X$2:$X$103,Prices!$A$2:$A$103,$A33,Prices!$L$2:$L$103,"Y",Prices!$X$2:$X$103,"&gt;0")</f>
        <v/>
      </c>
      <c r="J33" s="7">
        <f>_xlfn.MINIFS(Prices!$Y$2:$Y$103,Prices!$A$2:$A$103,$A33,Prices!$L$2:$L$103,"Y",Prices!$Y$2:$Y$103,"&gt;0")</f>
        <v/>
      </c>
      <c r="K33" s="8">
        <f>IFERROR(INDEX(Prices!$B$2:$B$103,MATCH($A33&amp;"|"&amp;TEXT($H33,"0.0000")&amp;"|Y",Prices!$Z$2:$Z$103,0)),"none")</f>
        <v/>
      </c>
      <c r="L33" s="8">
        <f>IFERROR(INDEX(Prices!$B$2:$B$103,MATCH($A33&amp;"|"&amp;TEXT($J33,"0.0000")&amp;"|Y",Prices!$AA$2:$AA$103,0)),"none")</f>
        <v/>
      </c>
      <c r="M33" s="8">
        <f>IF($G33=0,"NO PRICE",IF($G33=1,"Single source",""))</f>
        <v/>
      </c>
    </row>
    <row r="34">
      <c r="A34" s="8" t="inlineStr">
        <is>
          <t>C01</t>
        </is>
      </c>
      <c r="B34" s="8" t="inlineStr">
        <is>
          <t>Capacitors</t>
        </is>
      </c>
      <c r="C34" s="8" t="inlineStr">
        <is>
          <t>Capacitor 100 nF ceramic</t>
        </is>
      </c>
      <c r="D34" s="8" t="inlineStr">
        <is>
          <t>48 decoupling + 2 timing + 3 programmer + spares</t>
        </is>
      </c>
      <c r="E34" s="12" t="n">
        <v>60</v>
      </c>
      <c r="F34" s="8" t="inlineStr">
        <is>
          <t>All boards</t>
        </is>
      </c>
      <c r="G34" s="8">
        <f>COUNTIFS(Prices!$A$2:$A$103,$A34,Prices!$L$2:$L$103,"Y",Prices!$E$2:$E$103,"&gt;0")</f>
        <v/>
      </c>
      <c r="H34" s="7">
        <f>_xlfn.MINIFS(Prices!$W$2:$W$103,Prices!$A$2:$A$103,$A34,Prices!$L$2:$L$103,"Y",Prices!$W$2:$W$103,"&gt;0")</f>
        <v/>
      </c>
      <c r="I34" s="7">
        <f>_xlfn.MINIFS(Prices!$X$2:$X$103,Prices!$A$2:$A$103,$A34,Prices!$L$2:$L$103,"Y",Prices!$X$2:$X$103,"&gt;0")</f>
        <v/>
      </c>
      <c r="J34" s="7">
        <f>_xlfn.MINIFS(Prices!$Y$2:$Y$103,Prices!$A$2:$A$103,$A34,Prices!$L$2:$L$103,"Y",Prices!$Y$2:$Y$103,"&gt;0")</f>
        <v/>
      </c>
      <c r="K34" s="8">
        <f>IFERROR(INDEX(Prices!$B$2:$B$103,MATCH($A34&amp;"|"&amp;TEXT($H34,"0.0000")&amp;"|Y",Prices!$Z$2:$Z$103,0)),"none")</f>
        <v/>
      </c>
      <c r="L34" s="8">
        <f>IFERROR(INDEX(Prices!$B$2:$B$103,MATCH($A34&amp;"|"&amp;TEXT($J34,"0.0000")&amp;"|Y",Prices!$AA$2:$AA$103,0)),"none")</f>
        <v/>
      </c>
      <c r="M34" s="8">
        <f>IF($G34=0,"NO PRICE",IF($G34=1,"Single source",""))</f>
        <v/>
      </c>
    </row>
    <row r="35">
      <c r="A35" s="8" t="inlineStr">
        <is>
          <t>C10n</t>
        </is>
      </c>
      <c r="B35" s="8" t="inlineStr">
        <is>
          <t>Capacitors</t>
        </is>
      </c>
      <c r="C35" s="8" t="inlineStr">
        <is>
          <t>Capacitor 10 nF ceramic</t>
        </is>
      </c>
      <c r="D35" s="8" t="inlineStr">
        <is>
          <t>555 control pins (4), RESET line filter (1)</t>
        </is>
      </c>
      <c r="E35" s="12" t="n">
        <v>5</v>
      </c>
      <c r="F35" s="8" t="inlineStr">
        <is>
          <t>Clock, Display driver, Front panel</t>
        </is>
      </c>
      <c r="G35" s="8">
        <f>COUNTIFS(Prices!$A$2:$A$103,$A35,Prices!$L$2:$L$103,"Y",Prices!$E$2:$E$103,"&gt;0")</f>
        <v/>
      </c>
      <c r="H35" s="7">
        <f>_xlfn.MINIFS(Prices!$W$2:$W$103,Prices!$A$2:$A$103,$A35,Prices!$L$2:$L$103,"Y",Prices!$W$2:$W$103,"&gt;0")</f>
        <v/>
      </c>
      <c r="I35" s="7">
        <f>_xlfn.MINIFS(Prices!$X$2:$X$103,Prices!$A$2:$A$103,$A35,Prices!$L$2:$L$103,"Y",Prices!$X$2:$X$103,"&gt;0")</f>
        <v/>
      </c>
      <c r="J35" s="7">
        <f>_xlfn.MINIFS(Prices!$Y$2:$Y$103,Prices!$A$2:$A$103,$A35,Prices!$L$2:$L$103,"Y",Prices!$Y$2:$Y$103,"&gt;0")</f>
        <v/>
      </c>
      <c r="K35" s="8">
        <f>IFERROR(INDEX(Prices!$B$2:$B$103,MATCH($A35&amp;"|"&amp;TEXT($H35,"0.0000")&amp;"|Y",Prices!$Z$2:$Z$103,0)),"none")</f>
        <v/>
      </c>
      <c r="L35" s="8">
        <f>IFERROR(INDEX(Prices!$B$2:$B$103,MATCH($A35&amp;"|"&amp;TEXT($J35,"0.0000")&amp;"|Y",Prices!$AA$2:$AA$103,0)),"none")</f>
        <v/>
      </c>
      <c r="M35" s="8">
        <f>IF($G35=0,"NO PRICE",IF($G35=1,"Single source",""))</f>
        <v/>
      </c>
    </row>
    <row r="36">
      <c r="A36" s="8" t="inlineStr">
        <is>
          <t>C02</t>
        </is>
      </c>
      <c r="B36" s="8" t="inlineStr">
        <is>
          <t>Capacitors</t>
        </is>
      </c>
      <c r="C36" s="8" t="inlineStr">
        <is>
          <t>Capacitor 1 µF electrolytic</t>
        </is>
      </c>
      <c r="D36" s="8" t="inlineStr"/>
      <c r="E36" s="12" t="n">
        <v>2</v>
      </c>
      <c r="F36" s="8" t="inlineStr">
        <is>
          <t>Clock</t>
        </is>
      </c>
      <c r="G36" s="8">
        <f>COUNTIFS(Prices!$A$2:$A$103,$A36,Prices!$L$2:$L$103,"Y",Prices!$E$2:$E$103,"&gt;0")</f>
        <v/>
      </c>
      <c r="H36" s="7">
        <f>_xlfn.MINIFS(Prices!$W$2:$W$103,Prices!$A$2:$A$103,$A36,Prices!$L$2:$L$103,"Y",Prices!$W$2:$W$103,"&gt;0")</f>
        <v/>
      </c>
      <c r="I36" s="7">
        <f>_xlfn.MINIFS(Prices!$X$2:$X$103,Prices!$A$2:$A$103,$A36,Prices!$L$2:$L$103,"Y",Prices!$X$2:$X$103,"&gt;0")</f>
        <v/>
      </c>
      <c r="J36" s="7">
        <f>_xlfn.MINIFS(Prices!$Y$2:$Y$103,Prices!$A$2:$A$103,$A36,Prices!$L$2:$L$103,"Y",Prices!$Y$2:$Y$103,"&gt;0")</f>
        <v/>
      </c>
      <c r="K36" s="8">
        <f>IFERROR(INDEX(Prices!$B$2:$B$103,MATCH($A36&amp;"|"&amp;TEXT($H36,"0.0000")&amp;"|Y",Prices!$Z$2:$Z$103,0)),"none")</f>
        <v/>
      </c>
      <c r="L36" s="8">
        <f>IFERROR(INDEX(Prices!$B$2:$B$103,MATCH($A36&amp;"|"&amp;TEXT($J36,"0.0000")&amp;"|Y",Prices!$AA$2:$AA$103,0)),"none")</f>
        <v/>
      </c>
      <c r="M36" s="8">
        <f>IF($G36=0,"NO PRICE",IF($G36=1,"Single source",""))</f>
        <v/>
      </c>
    </row>
    <row r="37">
      <c r="A37" s="8" t="inlineStr">
        <is>
          <t>C10u</t>
        </is>
      </c>
      <c r="B37" s="8" t="inlineStr">
        <is>
          <t>Capacitors</t>
        </is>
      </c>
      <c r="C37" s="8" t="inlineStr">
        <is>
          <t>Capacitor 10 µF electrolytic, 16 V or more</t>
        </is>
      </c>
      <c r="D37" s="8" t="inlineStr">
        <is>
          <t>bulk supply capacitor, one per board</t>
        </is>
      </c>
      <c r="E37" s="12" t="n">
        <v>16</v>
      </c>
      <c r="F37" s="8" t="inlineStr">
        <is>
          <t>every board except Bus</t>
        </is>
      </c>
      <c r="G37" s="8">
        <f>COUNTIFS(Prices!$A$2:$A$103,$A37,Prices!$L$2:$L$103,"Y",Prices!$E$2:$E$103,"&gt;0")</f>
        <v/>
      </c>
      <c r="H37" s="7">
        <f>_xlfn.MINIFS(Prices!$W$2:$W$103,Prices!$A$2:$A$103,$A37,Prices!$L$2:$L$103,"Y",Prices!$W$2:$W$103,"&gt;0")</f>
        <v/>
      </c>
      <c r="I37" s="7">
        <f>_xlfn.MINIFS(Prices!$X$2:$X$103,Prices!$A$2:$A$103,$A37,Prices!$L$2:$L$103,"Y",Prices!$X$2:$X$103,"&gt;0")</f>
        <v/>
      </c>
      <c r="J37" s="7">
        <f>_xlfn.MINIFS(Prices!$Y$2:$Y$103,Prices!$A$2:$A$103,$A37,Prices!$L$2:$L$103,"Y",Prices!$Y$2:$Y$103,"&gt;0")</f>
        <v/>
      </c>
      <c r="K37" s="8">
        <f>IFERROR(INDEX(Prices!$B$2:$B$103,MATCH($A37&amp;"|"&amp;TEXT($H37,"0.0000")&amp;"|Y",Prices!$Z$2:$Z$103,0)),"none")</f>
        <v/>
      </c>
      <c r="L37" s="8">
        <f>IFERROR(INDEX(Prices!$B$2:$B$103,MATCH($A37&amp;"|"&amp;TEXT($J37,"0.0000")&amp;"|Y",Prices!$AA$2:$AA$103,0)),"none")</f>
        <v/>
      </c>
      <c r="M37" s="8">
        <f>IF($G37=0,"NO PRICE",IF($G37=1,"Single source",""))</f>
        <v/>
      </c>
    </row>
    <row r="38">
      <c r="A38" s="8" t="inlineStr">
        <is>
          <t>C100u</t>
        </is>
      </c>
      <c r="B38" s="8" t="inlineStr">
        <is>
          <t>Capacitors</t>
        </is>
      </c>
      <c r="C38" s="8" t="inlineStr">
        <is>
          <t>Capacitor 100 µF electrolytic, 16 V or more</t>
        </is>
      </c>
      <c r="D38" s="8" t="inlineStr">
        <is>
          <t>bulk capacitor at the power entry</t>
        </is>
      </c>
      <c r="E38" s="12" t="n">
        <v>1</v>
      </c>
      <c r="F38" s="8" t="inlineStr">
        <is>
          <t>Bus</t>
        </is>
      </c>
      <c r="G38" s="8">
        <f>COUNTIFS(Prices!$A$2:$A$103,$A38,Prices!$L$2:$L$103,"Y",Prices!$E$2:$E$103,"&gt;0")</f>
        <v/>
      </c>
      <c r="H38" s="7">
        <f>_xlfn.MINIFS(Prices!$W$2:$W$103,Prices!$A$2:$A$103,$A38,Prices!$L$2:$L$103,"Y",Prices!$W$2:$W$103,"&gt;0")</f>
        <v/>
      </c>
      <c r="I38" s="7">
        <f>_xlfn.MINIFS(Prices!$X$2:$X$103,Prices!$A$2:$A$103,$A38,Prices!$L$2:$L$103,"Y",Prices!$X$2:$X$103,"&gt;0")</f>
        <v/>
      </c>
      <c r="J38" s="7">
        <f>_xlfn.MINIFS(Prices!$Y$2:$Y$103,Prices!$A$2:$A$103,$A38,Prices!$L$2:$L$103,"Y",Prices!$Y$2:$Y$103,"&gt;0")</f>
        <v/>
      </c>
      <c r="K38" s="8">
        <f>IFERROR(INDEX(Prices!$B$2:$B$103,MATCH($A38&amp;"|"&amp;TEXT($H38,"0.0000")&amp;"|Y",Prices!$Z$2:$Z$103,0)),"none")</f>
        <v/>
      </c>
      <c r="L38" s="8">
        <f>IFERROR(INDEX(Prices!$B$2:$B$103,MATCH($A38&amp;"|"&amp;TEXT($J38,"0.0000")&amp;"|Y",Prices!$AA$2:$AA$103,0)),"none")</f>
        <v/>
      </c>
      <c r="M38" s="8">
        <f>IF($G38=0,"NO PRICE",IF($G38=1,"Single source",""))</f>
        <v/>
      </c>
    </row>
    <row r="39">
      <c r="A39" s="8" t="inlineStr">
        <is>
          <t>VR1</t>
        </is>
      </c>
      <c r="B39" s="8" t="inlineStr">
        <is>
          <t>Controls</t>
        </is>
      </c>
      <c r="C39" s="8" t="inlineStr">
        <is>
          <t>Potentiometer 1 MΩ linear</t>
        </is>
      </c>
      <c r="D39" s="8" t="inlineStr">
        <is>
          <t>clock speed</t>
        </is>
      </c>
      <c r="E39" s="12" t="n">
        <v>1</v>
      </c>
      <c r="F39" s="8" t="inlineStr">
        <is>
          <t>Clock</t>
        </is>
      </c>
      <c r="G39" s="8">
        <f>COUNTIFS(Prices!$A$2:$A$103,$A39,Prices!$L$2:$L$103,"Y",Prices!$E$2:$E$103,"&gt;0")</f>
        <v/>
      </c>
      <c r="H39" s="7">
        <f>_xlfn.MINIFS(Prices!$W$2:$W$103,Prices!$A$2:$A$103,$A39,Prices!$L$2:$L$103,"Y",Prices!$W$2:$W$103,"&gt;0")</f>
        <v/>
      </c>
      <c r="I39" s="7">
        <f>_xlfn.MINIFS(Prices!$X$2:$X$103,Prices!$A$2:$A$103,$A39,Prices!$L$2:$L$103,"Y",Prices!$X$2:$X$103,"&gt;0")</f>
        <v/>
      </c>
      <c r="J39" s="7">
        <f>_xlfn.MINIFS(Prices!$Y$2:$Y$103,Prices!$A$2:$A$103,$A39,Prices!$L$2:$L$103,"Y",Prices!$Y$2:$Y$103,"&gt;0")</f>
        <v/>
      </c>
      <c r="K39" s="8">
        <f>IFERROR(INDEX(Prices!$B$2:$B$103,MATCH($A39&amp;"|"&amp;TEXT($H39,"0.0000")&amp;"|Y",Prices!$Z$2:$Z$103,0)),"none")</f>
        <v/>
      </c>
      <c r="L39" s="8">
        <f>IFERROR(INDEX(Prices!$B$2:$B$103,MATCH($A39&amp;"|"&amp;TEXT($J39,"0.0000")&amp;"|Y",Prices!$AA$2:$AA$103,0)),"none")</f>
        <v/>
      </c>
      <c r="M39" s="8">
        <f>IF($G39=0,"NO PRICE",IF($G39=1,"Single source",""))</f>
        <v/>
      </c>
    </row>
    <row r="40">
      <c r="A40" s="8" t="inlineStr">
        <is>
          <t>JP3</t>
        </is>
      </c>
      <c r="B40" s="8" t="inlineStr">
        <is>
          <t>Controls</t>
        </is>
      </c>
      <c r="C40" s="8" t="inlineStr">
        <is>
          <t>3-pin header + jumper shunt</t>
        </is>
      </c>
      <c r="D40" s="8" t="inlineStr">
        <is>
          <t>clock range</t>
        </is>
      </c>
      <c r="E40" s="12" t="n">
        <v>1</v>
      </c>
      <c r="F40" s="8" t="inlineStr">
        <is>
          <t>Clock</t>
        </is>
      </c>
      <c r="G40" s="8">
        <f>COUNTIFS(Prices!$A$2:$A$103,$A40,Prices!$L$2:$L$103,"Y",Prices!$E$2:$E$103,"&gt;0")</f>
        <v/>
      </c>
      <c r="H40" s="7">
        <f>_xlfn.MINIFS(Prices!$W$2:$W$103,Prices!$A$2:$A$103,$A40,Prices!$L$2:$L$103,"Y",Prices!$W$2:$W$103,"&gt;0")</f>
        <v/>
      </c>
      <c r="I40" s="7">
        <f>_xlfn.MINIFS(Prices!$X$2:$X$103,Prices!$A$2:$A$103,$A40,Prices!$L$2:$L$103,"Y",Prices!$X$2:$X$103,"&gt;0")</f>
        <v/>
      </c>
      <c r="J40" s="7">
        <f>_xlfn.MINIFS(Prices!$Y$2:$Y$103,Prices!$A$2:$A$103,$A40,Prices!$L$2:$L$103,"Y",Prices!$Y$2:$Y$103,"&gt;0")</f>
        <v/>
      </c>
      <c r="K40" s="8">
        <f>IFERROR(INDEX(Prices!$B$2:$B$103,MATCH($A40&amp;"|"&amp;TEXT($H40,"0.0000")&amp;"|Y",Prices!$Z$2:$Z$103,0)),"none")</f>
        <v/>
      </c>
      <c r="L40" s="8">
        <f>IFERROR(INDEX(Prices!$B$2:$B$103,MATCH($A40&amp;"|"&amp;TEXT($J40,"0.0000")&amp;"|Y",Prices!$AA$2:$AA$103,0)),"none")</f>
        <v/>
      </c>
      <c r="M40" s="8">
        <f>IF($G40=0,"NO PRICE",IF($G40=1,"Single source",""))</f>
        <v/>
      </c>
    </row>
    <row r="41">
      <c r="A41" s="8" t="inlineStr">
        <is>
          <t>SW1</t>
        </is>
      </c>
      <c r="B41" s="8" t="inlineStr">
        <is>
          <t>Switches</t>
        </is>
      </c>
      <c r="C41" s="8" t="inlineStr">
        <is>
          <t>Tactile push button 6 mm</t>
        </is>
      </c>
      <c r="D41" s="8" t="inlineStr">
        <is>
          <t>STEP, RESET, WRITE</t>
        </is>
      </c>
      <c r="E41" s="12" t="n">
        <v>3</v>
      </c>
      <c r="F41" s="8" t="inlineStr">
        <is>
          <t>Front panel</t>
        </is>
      </c>
      <c r="G41" s="8">
        <f>COUNTIFS(Prices!$A$2:$A$103,$A41,Prices!$L$2:$L$103,"Y",Prices!$E$2:$E$103,"&gt;0")</f>
        <v/>
      </c>
      <c r="H41" s="7">
        <f>_xlfn.MINIFS(Prices!$W$2:$W$103,Prices!$A$2:$A$103,$A41,Prices!$L$2:$L$103,"Y",Prices!$W$2:$W$103,"&gt;0")</f>
        <v/>
      </c>
      <c r="I41" s="7">
        <f>_xlfn.MINIFS(Prices!$X$2:$X$103,Prices!$A$2:$A$103,$A41,Prices!$L$2:$L$103,"Y",Prices!$X$2:$X$103,"&gt;0")</f>
        <v/>
      </c>
      <c r="J41" s="7">
        <f>_xlfn.MINIFS(Prices!$Y$2:$Y$103,Prices!$A$2:$A$103,$A41,Prices!$L$2:$L$103,"Y",Prices!$Y$2:$Y$103,"&gt;0")</f>
        <v/>
      </c>
      <c r="K41" s="8">
        <f>IFERROR(INDEX(Prices!$B$2:$B$103,MATCH($A41&amp;"|"&amp;TEXT($H41,"0.0000")&amp;"|Y",Prices!$Z$2:$Z$103,0)),"none")</f>
        <v/>
      </c>
      <c r="L41" s="8">
        <f>IFERROR(INDEX(Prices!$B$2:$B$103,MATCH($A41&amp;"|"&amp;TEXT($J41,"0.0000")&amp;"|Y",Prices!$AA$2:$AA$103,0)),"none")</f>
        <v/>
      </c>
      <c r="M41" s="8">
        <f>IF($G41=0,"NO PRICE",IF($G41=1,"Single source",""))</f>
        <v/>
      </c>
    </row>
    <row r="42">
      <c r="A42" s="8" t="inlineStr">
        <is>
          <t>SW2</t>
        </is>
      </c>
      <c r="B42" s="8" t="inlineStr">
        <is>
          <t>Switches</t>
        </is>
      </c>
      <c r="C42" s="8" t="inlineStr">
        <is>
          <t>Slide switch SPDT, 0.1 in pitch</t>
        </is>
      </c>
      <c r="D42" s="8" t="inlineStr">
        <is>
          <t>RUN/STEP, PROGRAM/RUN; PROGRAM/RUN is wired as on/off to +5 V with a 10 kΩ pull-down, so a shorting (make-before-break) switch is safe too</t>
        </is>
      </c>
      <c r="E42" s="12" t="n">
        <v>2</v>
      </c>
      <c r="F42" s="8" t="inlineStr">
        <is>
          <t>Front panel</t>
        </is>
      </c>
      <c r="G42" s="8">
        <f>COUNTIFS(Prices!$A$2:$A$103,$A42,Prices!$L$2:$L$103,"Y",Prices!$E$2:$E$103,"&gt;0")</f>
        <v/>
      </c>
      <c r="H42" s="7">
        <f>_xlfn.MINIFS(Prices!$W$2:$W$103,Prices!$A$2:$A$103,$A42,Prices!$L$2:$L$103,"Y",Prices!$W$2:$W$103,"&gt;0")</f>
        <v/>
      </c>
      <c r="I42" s="7">
        <f>_xlfn.MINIFS(Prices!$X$2:$X$103,Prices!$A$2:$A$103,$A42,Prices!$L$2:$L$103,"Y",Prices!$X$2:$X$103,"&gt;0")</f>
        <v/>
      </c>
      <c r="J42" s="7">
        <f>_xlfn.MINIFS(Prices!$Y$2:$Y$103,Prices!$A$2:$A$103,$A42,Prices!$L$2:$L$103,"Y",Prices!$Y$2:$Y$103,"&gt;0")</f>
        <v/>
      </c>
      <c r="K42" s="8">
        <f>IFERROR(INDEX(Prices!$B$2:$B$103,MATCH($A42&amp;"|"&amp;TEXT($H42,"0.0000")&amp;"|Y",Prices!$Z$2:$Z$103,0)),"none")</f>
        <v/>
      </c>
      <c r="L42" s="8">
        <f>IFERROR(INDEX(Prices!$B$2:$B$103,MATCH($A42&amp;"|"&amp;TEXT($J42,"0.0000")&amp;"|Y",Prices!$AA$2:$AA$103,0)),"none")</f>
        <v/>
      </c>
      <c r="M42" s="8">
        <f>IF($G42=0,"NO PRICE",IF($G42=1,"Single source",""))</f>
        <v/>
      </c>
    </row>
    <row r="43">
      <c r="A43" s="8" t="inlineStr">
        <is>
          <t>SW3</t>
        </is>
      </c>
      <c r="B43" s="8" t="inlineStr">
        <is>
          <t>Switches</t>
        </is>
      </c>
      <c r="C43" s="8" t="inlineStr">
        <is>
          <t>DIP switch 8-position</t>
        </is>
      </c>
      <c r="D43" s="8" t="inlineStr">
        <is>
          <t>data, input A, input B</t>
        </is>
      </c>
      <c r="E43" s="12" t="n">
        <v>3</v>
      </c>
      <c r="F43" s="8" t="inlineStr">
        <is>
          <t>Front panel</t>
        </is>
      </c>
      <c r="G43" s="8">
        <f>COUNTIFS(Prices!$A$2:$A$103,$A43,Prices!$L$2:$L$103,"Y",Prices!$E$2:$E$103,"&gt;0")</f>
        <v/>
      </c>
      <c r="H43" s="7">
        <f>_xlfn.MINIFS(Prices!$W$2:$W$103,Prices!$A$2:$A$103,$A43,Prices!$L$2:$L$103,"Y",Prices!$W$2:$W$103,"&gt;0")</f>
        <v/>
      </c>
      <c r="I43" s="7">
        <f>_xlfn.MINIFS(Prices!$X$2:$X$103,Prices!$A$2:$A$103,$A43,Prices!$L$2:$L$103,"Y",Prices!$X$2:$X$103,"&gt;0")</f>
        <v/>
      </c>
      <c r="J43" s="7">
        <f>_xlfn.MINIFS(Prices!$Y$2:$Y$103,Prices!$A$2:$A$103,$A43,Prices!$L$2:$L$103,"Y",Prices!$Y$2:$Y$103,"&gt;0")</f>
        <v/>
      </c>
      <c r="K43" s="8">
        <f>IFERROR(INDEX(Prices!$B$2:$B$103,MATCH($A43&amp;"|"&amp;TEXT($H43,"0.0000")&amp;"|Y",Prices!$Z$2:$Z$103,0)),"none")</f>
        <v/>
      </c>
      <c r="L43" s="8">
        <f>IFERROR(INDEX(Prices!$B$2:$B$103,MATCH($A43&amp;"|"&amp;TEXT($J43,"0.0000")&amp;"|Y",Prices!$AA$2:$AA$103,0)),"none")</f>
        <v/>
      </c>
      <c r="M43" s="8">
        <f>IF($G43=0,"NO PRICE",IF($G43=1,"Single source",""))</f>
        <v/>
      </c>
    </row>
    <row r="44">
      <c r="A44" s="8" t="inlineStr">
        <is>
          <t>SW4</t>
        </is>
      </c>
      <c r="B44" s="8" t="inlineStr">
        <is>
          <t>Switches</t>
        </is>
      </c>
      <c r="C44" s="8" t="inlineStr">
        <is>
          <t>DIP switch 4-position</t>
        </is>
      </c>
      <c r="D44" s="8" t="inlineStr">
        <is>
          <t>address</t>
        </is>
      </c>
      <c r="E44" s="12" t="n">
        <v>1</v>
      </c>
      <c r="F44" s="8" t="inlineStr">
        <is>
          <t>Front panel</t>
        </is>
      </c>
      <c r="G44" s="8">
        <f>COUNTIFS(Prices!$A$2:$A$103,$A44,Prices!$L$2:$L$103,"Y",Prices!$E$2:$E$103,"&gt;0")</f>
        <v/>
      </c>
      <c r="H44" s="7">
        <f>_xlfn.MINIFS(Prices!$W$2:$W$103,Prices!$A$2:$A$103,$A44,Prices!$L$2:$L$103,"Y",Prices!$W$2:$W$103,"&gt;0")</f>
        <v/>
      </c>
      <c r="I44" s="7">
        <f>_xlfn.MINIFS(Prices!$X$2:$X$103,Prices!$A$2:$A$103,$A44,Prices!$L$2:$L$103,"Y",Prices!$X$2:$X$103,"&gt;0")</f>
        <v/>
      </c>
      <c r="J44" s="7">
        <f>_xlfn.MINIFS(Prices!$Y$2:$Y$103,Prices!$A$2:$A$103,$A44,Prices!$L$2:$L$103,"Y",Prices!$Y$2:$Y$103,"&gt;0")</f>
        <v/>
      </c>
      <c r="K44" s="8">
        <f>IFERROR(INDEX(Prices!$B$2:$B$103,MATCH($A44&amp;"|"&amp;TEXT($H44,"0.0000")&amp;"|Y",Prices!$Z$2:$Z$103,0)),"none")</f>
        <v/>
      </c>
      <c r="L44" s="8">
        <f>IFERROR(INDEX(Prices!$B$2:$B$103,MATCH($A44&amp;"|"&amp;TEXT($J44,"0.0000")&amp;"|Y",Prices!$AA$2:$AA$103,0)),"none")</f>
        <v/>
      </c>
      <c r="M44" s="8">
        <f>IF($G44=0,"NO PRICE",IF($G44=1,"Single source",""))</f>
        <v/>
      </c>
    </row>
    <row r="45">
      <c r="A45" s="8" t="inlineStr">
        <is>
          <t>BB01</t>
        </is>
      </c>
      <c r="B45" s="8" t="inlineStr">
        <is>
          <t>Build</t>
        </is>
      </c>
      <c r="C45" s="8" t="inlineStr">
        <is>
          <t>Solderless breadboard 830 tie-point</t>
        </is>
      </c>
      <c r="D45" s="8" t="inlineStr">
        <is>
          <t>17 for PC-2 + 1 programmer</t>
        </is>
      </c>
      <c r="E45" s="12" t="n">
        <v>18</v>
      </c>
      <c r="F45" s="8" t="inlineStr">
        <is>
          <t>All</t>
        </is>
      </c>
      <c r="G45" s="8">
        <f>COUNTIFS(Prices!$A$2:$A$103,$A45,Prices!$L$2:$L$103,"Y",Prices!$E$2:$E$103,"&gt;0")</f>
        <v/>
      </c>
      <c r="H45" s="7">
        <f>_xlfn.MINIFS(Prices!$W$2:$W$103,Prices!$A$2:$A$103,$A45,Prices!$L$2:$L$103,"Y",Prices!$W$2:$W$103,"&gt;0")</f>
        <v/>
      </c>
      <c r="I45" s="7">
        <f>_xlfn.MINIFS(Prices!$X$2:$X$103,Prices!$A$2:$A$103,$A45,Prices!$L$2:$L$103,"Y",Prices!$X$2:$X$103,"&gt;0")</f>
        <v/>
      </c>
      <c r="J45" s="7">
        <f>_xlfn.MINIFS(Prices!$Y$2:$Y$103,Prices!$A$2:$A$103,$A45,Prices!$L$2:$L$103,"Y",Prices!$Y$2:$Y$103,"&gt;0")</f>
        <v/>
      </c>
      <c r="K45" s="8">
        <f>IFERROR(INDEX(Prices!$B$2:$B$103,MATCH($A45&amp;"|"&amp;TEXT($H45,"0.0000")&amp;"|Y",Prices!$Z$2:$Z$103,0)),"none")</f>
        <v/>
      </c>
      <c r="L45" s="8">
        <f>IFERROR(INDEX(Prices!$B$2:$B$103,MATCH($A45&amp;"|"&amp;TEXT($J45,"0.0000")&amp;"|Y",Prices!$AA$2:$AA$103,0)),"none")</f>
        <v/>
      </c>
      <c r="M45" s="8">
        <f>IF($G45=0,"NO PRICE",IF($G45=1,"Single source",""))</f>
        <v/>
      </c>
    </row>
    <row r="46">
      <c r="A46" s="8" t="inlineStr">
        <is>
          <t>W01</t>
        </is>
      </c>
      <c r="B46" s="8" t="inlineStr">
        <is>
          <t>Build</t>
        </is>
      </c>
      <c r="C46" s="8" t="inlineStr">
        <is>
          <t>22 AWG solid-core hook-up wire, 6-colour set</t>
        </is>
      </c>
      <c r="D46" s="8" t="inlineStr">
        <is>
          <t>about 91 m in all: 25 m on the boards, 66 m between boards (3 boxes = 137 m)</t>
        </is>
      </c>
      <c r="E46" s="12" t="n">
        <v>3</v>
      </c>
      <c r="F46" s="8" t="inlineStr">
        <is>
          <t>All</t>
        </is>
      </c>
      <c r="G46" s="8">
        <f>COUNTIFS(Prices!$A$2:$A$103,$A46,Prices!$L$2:$L$103,"Y",Prices!$E$2:$E$103,"&gt;0")</f>
        <v/>
      </c>
      <c r="H46" s="7">
        <f>_xlfn.MINIFS(Prices!$W$2:$W$103,Prices!$A$2:$A$103,$A46,Prices!$L$2:$L$103,"Y",Prices!$W$2:$W$103,"&gt;0")</f>
        <v/>
      </c>
      <c r="I46" s="7">
        <f>_xlfn.MINIFS(Prices!$X$2:$X$103,Prices!$A$2:$A$103,$A46,Prices!$L$2:$L$103,"Y",Prices!$X$2:$X$103,"&gt;0")</f>
        <v/>
      </c>
      <c r="J46" s="7">
        <f>_xlfn.MINIFS(Prices!$Y$2:$Y$103,Prices!$A$2:$A$103,$A46,Prices!$L$2:$L$103,"Y",Prices!$Y$2:$Y$103,"&gt;0")</f>
        <v/>
      </c>
      <c r="K46" s="8">
        <f>IFERROR(INDEX(Prices!$B$2:$B$103,MATCH($A46&amp;"|"&amp;TEXT($H46,"0.0000")&amp;"|Y",Prices!$Z$2:$Z$103,0)),"none")</f>
        <v/>
      </c>
      <c r="L46" s="8">
        <f>IFERROR(INDEX(Prices!$B$2:$B$103,MATCH($A46&amp;"|"&amp;TEXT($J46,"0.0000")&amp;"|Y",Prices!$AA$2:$AA$103,0)),"none")</f>
        <v/>
      </c>
      <c r="M46" s="8">
        <f>IF($G46=0,"NO PRICE",IF($G46=1,"Single source",""))</f>
        <v/>
      </c>
    </row>
    <row r="47">
      <c r="A47" s="8" t="inlineStr">
        <is>
          <t>PS02</t>
        </is>
      </c>
      <c r="B47" s="8" t="inlineStr">
        <is>
          <t>Power</t>
        </is>
      </c>
      <c r="C47" s="8" t="inlineStr">
        <is>
          <t>USB-C breakout with 5.1 kΩ CC resistors (Adafruit 4090)</t>
        </is>
      </c>
      <c r="D47" s="8" t="inlineStr">
        <is>
          <t>power entry on the Bus board, header in 56a–63a</t>
        </is>
      </c>
      <c r="E47" s="12" t="n">
        <v>1</v>
      </c>
      <c r="F47" s="8" t="inlineStr">
        <is>
          <t>Bus</t>
        </is>
      </c>
      <c r="G47" s="8">
        <f>COUNTIFS(Prices!$A$2:$A$103,$A47,Prices!$L$2:$L$103,"Y",Prices!$E$2:$E$103,"&gt;0")</f>
        <v/>
      </c>
      <c r="H47" s="7">
        <f>_xlfn.MINIFS(Prices!$W$2:$W$103,Prices!$A$2:$A$103,$A47,Prices!$L$2:$L$103,"Y",Prices!$W$2:$W$103,"&gt;0")</f>
        <v/>
      </c>
      <c r="I47" s="7">
        <f>_xlfn.MINIFS(Prices!$X$2:$X$103,Prices!$A$2:$A$103,$A47,Prices!$L$2:$L$103,"Y",Prices!$X$2:$X$103,"&gt;0")</f>
        <v/>
      </c>
      <c r="J47" s="7">
        <f>_xlfn.MINIFS(Prices!$Y$2:$Y$103,Prices!$A$2:$A$103,$A47,Prices!$L$2:$L$103,"Y",Prices!$Y$2:$Y$103,"&gt;0")</f>
        <v/>
      </c>
      <c r="K47" s="8">
        <f>IFERROR(INDEX(Prices!$B$2:$B$103,MATCH($A47&amp;"|"&amp;TEXT($H47,"0.0000")&amp;"|Y",Prices!$Z$2:$Z$103,0)),"none")</f>
        <v/>
      </c>
      <c r="L47" s="8">
        <f>IFERROR(INDEX(Prices!$B$2:$B$103,MATCH($A47&amp;"|"&amp;TEXT($J47,"0.0000")&amp;"|Y",Prices!$AA$2:$AA$103,0)),"none")</f>
        <v/>
      </c>
      <c r="M47" s="8">
        <f>IF($G47=0,"NO PRICE",IF($G47=1,"Single source",""))</f>
        <v/>
      </c>
    </row>
    <row r="48">
      <c r="A48" s="8" t="inlineStr">
        <is>
          <t>F01</t>
        </is>
      </c>
      <c r="B48" s="8" t="inlineStr">
        <is>
          <t>Power</t>
        </is>
      </c>
      <c r="C48" s="8" t="inlineStr">
        <is>
          <t>Resettable fuse 1.1 A hold, radial (Littelfuse RXEF110)</t>
        </is>
      </c>
      <c r="D48" s="8" t="inlineStr">
        <is>
          <t>on the Bus board, VBUS to +5 V (57d to 57f)</t>
        </is>
      </c>
      <c r="E48" s="12" t="n">
        <v>1</v>
      </c>
      <c r="F48" s="8" t="inlineStr">
        <is>
          <t>Bus</t>
        </is>
      </c>
      <c r="G48" s="8">
        <f>COUNTIFS(Prices!$A$2:$A$103,$A48,Prices!$L$2:$L$103,"Y",Prices!$E$2:$E$103,"&gt;0")</f>
        <v/>
      </c>
      <c r="H48" s="7">
        <f>_xlfn.MINIFS(Prices!$W$2:$W$103,Prices!$A$2:$A$103,$A48,Prices!$L$2:$L$103,"Y",Prices!$W$2:$W$103,"&gt;0")</f>
        <v/>
      </c>
      <c r="I48" s="7">
        <f>_xlfn.MINIFS(Prices!$X$2:$X$103,Prices!$A$2:$A$103,$A48,Prices!$L$2:$L$103,"Y",Prices!$X$2:$X$103,"&gt;0")</f>
        <v/>
      </c>
      <c r="J48" s="7">
        <f>_xlfn.MINIFS(Prices!$Y$2:$Y$103,Prices!$A$2:$A$103,$A48,Prices!$L$2:$L$103,"Y",Prices!$Y$2:$Y$103,"&gt;0")</f>
        <v/>
      </c>
      <c r="K48" s="8">
        <f>IFERROR(INDEX(Prices!$B$2:$B$103,MATCH($A48&amp;"|"&amp;TEXT($H48,"0.0000")&amp;"|Y",Prices!$Z$2:$Z$103,0)),"none")</f>
        <v/>
      </c>
      <c r="L48" s="8">
        <f>IFERROR(INDEX(Prices!$B$2:$B$103,MATCH($A48&amp;"|"&amp;TEXT($J48,"0.0000")&amp;"|Y",Prices!$AA$2:$AA$103,0)),"none")</f>
        <v/>
      </c>
      <c r="M48" s="8">
        <f>IF($G48=0,"NO PRICE",IF($G48=1,"Single source",""))</f>
        <v/>
      </c>
    </row>
    <row r="49">
      <c r="A49" s="8" t="inlineStr">
        <is>
          <t>PSU</t>
        </is>
      </c>
      <c r="B49" s="8" t="inlineStr">
        <is>
          <t>Power</t>
        </is>
      </c>
      <c r="C49" s="8" t="inlineStr">
        <is>
          <t>USB-C 5 V 3 A power supply, RCM approved (Raspberry Pi 15 W)</t>
        </is>
      </c>
      <c r="D49" s="8" t="inlineStr">
        <is>
          <t>any USB-C supply giving 5 V at 1.5 A or more</t>
        </is>
      </c>
      <c r="E49" s="12" t="n">
        <v>1</v>
      </c>
      <c r="F49" s="8" t="inlineStr">
        <is>
          <t>Power</t>
        </is>
      </c>
      <c r="G49" s="8">
        <f>COUNTIFS(Prices!$A$2:$A$103,$A49,Prices!$L$2:$L$103,"Y",Prices!$E$2:$E$103,"&gt;0")</f>
        <v/>
      </c>
      <c r="H49" s="7">
        <f>_xlfn.MINIFS(Prices!$W$2:$W$103,Prices!$A$2:$A$103,$A49,Prices!$L$2:$L$103,"Y",Prices!$W$2:$W$103,"&gt;0")</f>
        <v/>
      </c>
      <c r="I49" s="7">
        <f>_xlfn.MINIFS(Prices!$X$2:$X$103,Prices!$A$2:$A$103,$A49,Prices!$L$2:$L$103,"Y",Prices!$X$2:$X$103,"&gt;0")</f>
        <v/>
      </c>
      <c r="J49" s="7">
        <f>_xlfn.MINIFS(Prices!$Y$2:$Y$103,Prices!$A$2:$A$103,$A49,Prices!$L$2:$L$103,"Y",Prices!$Y$2:$Y$103,"&gt;0")</f>
        <v/>
      </c>
      <c r="K49" s="8">
        <f>IFERROR(INDEX(Prices!$B$2:$B$103,MATCH($A49&amp;"|"&amp;TEXT($H49,"0.0000")&amp;"|Y",Prices!$Z$2:$Z$103,0)),"none")</f>
        <v/>
      </c>
      <c r="L49" s="8">
        <f>IFERROR(INDEX(Prices!$B$2:$B$103,MATCH($A49&amp;"|"&amp;TEXT($J49,"0.0000")&amp;"|Y",Prices!$AA$2:$AA$103,0)),"none")</f>
        <v/>
      </c>
      <c r="M49" s="8">
        <f>IF($G49=0,"NO PRICE",IF($G49=1,"Single source",""))</f>
        <v/>
      </c>
    </row>
    <row r="50">
      <c r="A50" s="8" t="inlineStr">
        <is>
          <t>PG01</t>
        </is>
      </c>
      <c r="B50" s="8" t="inlineStr">
        <is>
          <t>Programmer</t>
        </is>
      </c>
      <c r="C50" s="8" t="inlineStr">
        <is>
          <t>Arduino Nano compatible (5 V, ATmega328P)</t>
        </is>
      </c>
      <c r="D50" s="8" t="inlineStr"/>
      <c r="E50" s="12" t="n">
        <v>1</v>
      </c>
      <c r="F50" s="8" t="inlineStr">
        <is>
          <t>EEPROM programmer</t>
        </is>
      </c>
      <c r="G50" s="8">
        <f>COUNTIFS(Prices!$A$2:$A$103,$A50,Prices!$L$2:$L$103,"Y",Prices!$E$2:$E$103,"&gt;0")</f>
        <v/>
      </c>
      <c r="H50" s="7">
        <f>_xlfn.MINIFS(Prices!$W$2:$W$103,Prices!$A$2:$A$103,$A50,Prices!$L$2:$L$103,"Y",Prices!$W$2:$W$103,"&gt;0")</f>
        <v/>
      </c>
      <c r="I50" s="7">
        <f>_xlfn.MINIFS(Prices!$X$2:$X$103,Prices!$A$2:$A$103,$A50,Prices!$L$2:$L$103,"Y",Prices!$X$2:$X$103,"&gt;0")</f>
        <v/>
      </c>
      <c r="J50" s="7">
        <f>_xlfn.MINIFS(Prices!$Y$2:$Y$103,Prices!$A$2:$A$103,$A50,Prices!$L$2:$L$103,"Y",Prices!$Y$2:$Y$103,"&gt;0")</f>
        <v/>
      </c>
      <c r="K50" s="8">
        <f>IFERROR(INDEX(Prices!$B$2:$B$103,MATCH($A50&amp;"|"&amp;TEXT($H50,"0.0000")&amp;"|Y",Prices!$Z$2:$Z$103,0)),"none")</f>
        <v/>
      </c>
      <c r="L50" s="8">
        <f>IFERROR(INDEX(Prices!$B$2:$B$103,MATCH($A50&amp;"|"&amp;TEXT($J50,"0.0000")&amp;"|Y",Prices!$AA$2:$AA$103,0)),"none")</f>
        <v/>
      </c>
      <c r="M50" s="8">
        <f>IF($G50=0,"NO PRICE",IF($G50=1,"Single source",""))</f>
        <v/>
      </c>
    </row>
    <row r="51">
      <c r="A51" s="8" t="inlineStr">
        <is>
          <t>PG02</t>
        </is>
      </c>
      <c r="B51" s="8" t="inlineStr">
        <is>
          <t>Programmer</t>
        </is>
      </c>
      <c r="C51" s="8" t="inlineStr">
        <is>
          <t>74HC595</t>
        </is>
      </c>
      <c r="D51" s="8" t="inlineStr">
        <is>
          <t>8-bit shift register, DIP-16</t>
        </is>
      </c>
      <c r="E51" s="12" t="n">
        <v>2</v>
      </c>
      <c r="F51" s="8" t="inlineStr">
        <is>
          <t>EEPROM programmer</t>
        </is>
      </c>
      <c r="G51" s="8">
        <f>COUNTIFS(Prices!$A$2:$A$103,$A51,Prices!$L$2:$L$103,"Y",Prices!$E$2:$E$103,"&gt;0")</f>
        <v/>
      </c>
      <c r="H51" s="7">
        <f>_xlfn.MINIFS(Prices!$W$2:$W$103,Prices!$A$2:$A$103,$A51,Prices!$L$2:$L$103,"Y",Prices!$W$2:$W$103,"&gt;0")</f>
        <v/>
      </c>
      <c r="I51" s="7">
        <f>_xlfn.MINIFS(Prices!$X$2:$X$103,Prices!$A$2:$A$103,$A51,Prices!$L$2:$L$103,"Y",Prices!$X$2:$X$103,"&gt;0")</f>
        <v/>
      </c>
      <c r="J51" s="7">
        <f>_xlfn.MINIFS(Prices!$Y$2:$Y$103,Prices!$A$2:$A$103,$A51,Prices!$L$2:$L$103,"Y",Prices!$Y$2:$Y$103,"&gt;0")</f>
        <v/>
      </c>
      <c r="K51" s="8">
        <f>IFERROR(INDEX(Prices!$B$2:$B$103,MATCH($A51&amp;"|"&amp;TEXT($H51,"0.0000")&amp;"|Y",Prices!$Z$2:$Z$103,0)),"none")</f>
        <v/>
      </c>
      <c r="L51" s="8">
        <f>IFERROR(INDEX(Prices!$B$2:$B$103,MATCH($A51&amp;"|"&amp;TEXT($J51,"0.0000")&amp;"|Y",Prices!$AA$2:$AA$103,0)),"none")</f>
        <v/>
      </c>
      <c r="M51" s="8">
        <f>IF($G51=0,"NO PRICE",IF($G51=1,"Single source",""))</f>
        <v/>
      </c>
    </row>
    <row r="52">
      <c r="A52" s="4" t="inlineStr">
        <is>
          <t>Total parts cost per kit (AUD incl GST)</t>
        </is>
      </c>
      <c r="H52" s="13">
        <f>SUM(H2:H51)</f>
        <v/>
      </c>
      <c r="I52" s="13">
        <f>SUM(I2:I51)</f>
        <v/>
      </c>
      <c r="J52" s="13">
        <f>SUM(J2:J51)</f>
        <v/>
      </c>
    </row>
    <row r="53">
      <c r="A53" s="8" t="inlineStr">
        <is>
          <t>Chips per kit (IC lines, excluding programmer)</t>
        </is>
      </c>
      <c r="E53" s="8">
        <f>SUMIFS(E2:E51,A2:A51,"IC*")</f>
        <v/>
      </c>
    </row>
  </sheetData>
  <autoFilter ref="A1:M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0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30" customWidth="1" min="3" max="3"/>
    <col width="7" customWidth="1" min="4" max="4"/>
    <col width="9" customWidth="1" min="5" max="5"/>
    <col width="8" customWidth="1" min="6" max="6"/>
    <col width="9" customWidth="1" min="7" max="7"/>
    <col width="8" customWidth="1" min="8" max="8"/>
    <col width="9" customWidth="1" min="9" max="9"/>
    <col width="8" customWidth="1" min="10" max="10"/>
    <col width="22" customWidth="1" min="11" max="11"/>
    <col width="8" customWidth="1" min="12" max="12"/>
    <col width="11" customWidth="1" min="13" max="13"/>
    <col width="30" customWidth="1" min="14" max="14"/>
    <col width="60" customWidth="1" min="15" max="15"/>
    <col width="7" customWidth="1" min="16" max="16"/>
    <col width="7" customWidth="1" min="17" max="17"/>
    <col width="7" customWidth="1" min="18" max="18"/>
    <col width="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8" customWidth="1" min="26" max="26"/>
    <col width="18" customWidth="1" min="27" max="27"/>
  </cols>
  <sheetData>
    <row r="1">
      <c r="A1" s="11" t="inlineStr">
        <is>
          <t>ID</t>
        </is>
      </c>
      <c r="B1" s="11" t="inlineStr">
        <is>
          <t>Supplier</t>
        </is>
      </c>
      <c r="C1" s="11" t="inlineStr">
        <is>
          <t>Part / SKU</t>
        </is>
      </c>
      <c r="D1" s="11" t="inlineStr">
        <is>
          <t>Pack size</t>
        </is>
      </c>
      <c r="E1" s="11" t="inlineStr">
        <is>
          <t>Price q1 (AUD)</t>
        </is>
      </c>
      <c r="F1" s="11" t="inlineStr">
        <is>
          <t>Break 2 qty</t>
        </is>
      </c>
      <c r="G1" s="11" t="inlineStr">
        <is>
          <t>Break 2 price</t>
        </is>
      </c>
      <c r="H1" s="11" t="inlineStr">
        <is>
          <t>Break 3 qty</t>
        </is>
      </c>
      <c r="I1" s="11" t="inlineStr">
        <is>
          <t>Break 3 price</t>
        </is>
      </c>
      <c r="J1" s="11" t="inlineStr">
        <is>
          <t>Price incl GST?</t>
        </is>
      </c>
      <c r="K1" s="11" t="inlineStr">
        <is>
          <t>Stock shown</t>
        </is>
      </c>
      <c r="L1" s="11" t="inlineStr">
        <is>
          <t>Suitable</t>
        </is>
      </c>
      <c r="M1" s="11" t="inlineStr">
        <is>
          <t>Checked</t>
        </is>
      </c>
      <c r="N1" s="11" t="inlineStr">
        <is>
          <t>URL</t>
        </is>
      </c>
      <c r="O1" s="11" t="inlineStr">
        <is>
          <t>Note</t>
        </is>
      </c>
      <c r="P1" s="11" t="inlineStr">
        <is>
          <t>Qty per kit</t>
        </is>
      </c>
      <c r="Q1" s="11" t="inlineStr">
        <is>
          <t>Packs @T1</t>
        </is>
      </c>
      <c r="R1" s="11" t="inlineStr">
        <is>
          <t>Packs @T2</t>
        </is>
      </c>
      <c r="S1" s="11" t="inlineStr">
        <is>
          <t>Packs @T3</t>
        </is>
      </c>
      <c r="T1" s="11" t="inlineStr">
        <is>
          <t>Pack price incl GST @T1</t>
        </is>
      </c>
      <c r="U1" s="11" t="inlineStr">
        <is>
          <t>@T2</t>
        </is>
      </c>
      <c r="V1" s="11" t="inlineStr">
        <is>
          <t>@T3</t>
        </is>
      </c>
      <c r="W1" s="11" t="inlineStr">
        <is>
          <t>Cost per kit @T1</t>
        </is>
      </c>
      <c r="X1" s="11" t="inlineStr">
        <is>
          <t>Cost per kit @T2</t>
        </is>
      </c>
      <c r="Y1" s="11" t="inlineStr">
        <is>
          <t>Cost per kit @T3</t>
        </is>
      </c>
      <c r="Z1" s="11" t="inlineStr">
        <is>
          <t>Key T1</t>
        </is>
      </c>
      <c r="AA1" s="11" t="inlineStr">
        <is>
          <t>Key T3</t>
        </is>
      </c>
    </row>
    <row r="2">
      <c r="A2" s="8" t="inlineStr">
        <is>
          <t>H00</t>
        </is>
      </c>
      <c r="B2" s="8" t="inlineStr">
        <is>
          <t>Mouser Australia</t>
        </is>
      </c>
      <c r="C2" s="8" t="inlineStr">
        <is>
          <t>CD74HCT00E (595-CD74HCT00E)</t>
        </is>
      </c>
      <c r="D2" s="12" t="n">
        <v>1</v>
      </c>
      <c r="E2" s="14" t="n">
        <v>1.15</v>
      </c>
      <c r="F2" s="12" t="n">
        <v>10</v>
      </c>
      <c r="G2" s="14" t="n">
        <v>0.821</v>
      </c>
      <c r="H2" s="12" t="n">
        <v>100</v>
      </c>
      <c r="I2" s="14" t="n">
        <v>0.647</v>
      </c>
      <c r="J2" s="12" t="inlineStr">
        <is>
          <t>N</t>
        </is>
      </c>
      <c r="K2" s="8" t="inlineStr">
        <is>
          <t>590</t>
        </is>
      </c>
      <c r="L2" s="12" t="inlineStr">
        <is>
          <t>Y</t>
        </is>
      </c>
      <c r="M2" s="8" t="inlineStr">
        <is>
          <t>2026-10-25</t>
        </is>
      </c>
      <c r="N2" s="15" t="inlineStr">
        <is>
          <t>https://au.mouser.com/c/?q=CD74HCT00E</t>
        </is>
      </c>
      <c r="O2" s="8" t="inlineStr">
        <is>
          <t>Mouser page states no GST treatment; treated as ex GST. TI PDIP-14 tube.</t>
        </is>
      </c>
      <c r="P2" s="8">
        <f>IFERROR(VLOOKUP($A2,BOM!$A$2:$E$51,5,0),0)</f>
        <v/>
      </c>
      <c r="Q2" s="8">
        <f>CEILING($P2*Assumptions!$B$4/$D2,1)</f>
        <v/>
      </c>
      <c r="R2" s="8">
        <f>CEILING($P2*Assumptions!$B$5/$D2,1)</f>
        <v/>
      </c>
      <c r="S2" s="8">
        <f>CEILING($P2*Assumptions!$B$6/$D2,1)</f>
        <v/>
      </c>
      <c r="T2" s="7">
        <f>IF(ISNUMBER($E2),$E2*(1+IF($J2="Y",0,Assumptions!$B$3)),"")</f>
        <v/>
      </c>
      <c r="U2" s="7">
        <f>IF(ISNUMBER($E2),IF(AND(ISNUMBER($G2),ISNUMBER($F2)),IF($F2&lt;=$R2,$G2,$E2),$E2)*(1+IF($J2="Y",0,Assumptions!$B$3)),"")</f>
        <v/>
      </c>
      <c r="V2" s="7">
        <f>IF(ISNUMBER($E2),IF(AND(ISNUMBER($I2),ISNUMBER($H2)),IF($H2&lt;=$S2,$I2,IF(AND(ISNUMBER($G2),ISNUMBER($F2)),IF($F2&lt;=$S2,$G2,$E2),$E2)),IF(AND(ISNUMBER($G2),ISNUMBER($F2)),IF($F2&lt;=$S2,$G2,$E2),$E2))*(1+IF($J2="Y",0,Assumptions!$B$3)),"")</f>
        <v/>
      </c>
      <c r="W2" s="7">
        <f>IF(ISNUMBER($T2),$Q2*$T2/Assumptions!$B$4,"")</f>
        <v/>
      </c>
      <c r="X2" s="7">
        <f>IF(ISNUMBER($U2),$R2*$U2/Assumptions!$B$5,"")</f>
        <v/>
      </c>
      <c r="Y2" s="7">
        <f>IF(ISNUMBER($V2),$S2*$V2/Assumptions!$B$6,"")</f>
        <v/>
      </c>
      <c r="Z2" s="8">
        <f>$A2&amp;"|"&amp;IF(ISNUMBER($W2),TEXT($W2,"0.0000"),"x")&amp;"|"&amp;$L2</f>
        <v/>
      </c>
      <c r="AA2" s="8">
        <f>$A2&amp;"|"&amp;IF(ISNUMBER($Y2),TEXT($Y2,"0.0000"),"x")&amp;"|"&amp;$L2</f>
        <v/>
      </c>
    </row>
    <row r="3">
      <c r="A3" s="8" t="inlineStr">
        <is>
          <t>H00</t>
        </is>
      </c>
      <c r="B3" s="8" t="inlineStr">
        <is>
          <t>Wiltronics (AU)</t>
        </is>
      </c>
      <c r="C3" s="8" t="inlineStr">
        <is>
          <t>74HCT00</t>
        </is>
      </c>
      <c r="D3" s="12" t="n">
        <v>1</v>
      </c>
      <c r="E3" s="14" t="n">
        <v>1.95</v>
      </c>
      <c r="F3" s="12" t="n">
        <v>10</v>
      </c>
      <c r="G3" s="14" t="n">
        <v>1.7</v>
      </c>
      <c r="H3" s="12" t="n">
        <v>25</v>
      </c>
      <c r="I3" s="14" t="n">
        <v>1.6</v>
      </c>
      <c r="J3" s="12" t="inlineStr">
        <is>
          <t>Y</t>
        </is>
      </c>
      <c r="K3" s="8" t="inlineStr">
        <is>
          <t>not shown</t>
        </is>
      </c>
      <c r="L3" s="12" t="inlineStr">
        <is>
          <t>Y</t>
        </is>
      </c>
      <c r="M3" s="8" t="inlineStr">
        <is>
          <t>2026-10-25</t>
        </is>
      </c>
      <c r="N3" s="15" t="inlineStr">
        <is>
          <t>https://www.wiltronics.com.au/product/317/74hct00-quad-2-input-nand-gate-4/</t>
        </is>
      </c>
      <c r="O3" s="8" t="inlineStr">
        <is>
          <t>Wiltronics states prices include GST; no stock indicator on page. Not on preferred list but Australian retailer. DIP-14; manufacturer not stated. Highest break shown is 25. element14 AU: no DIP 74HCT00 (SMD only).</t>
        </is>
      </c>
      <c r="P3" s="8">
        <f>IFERROR(VLOOKUP($A3,BOM!$A$2:$E$51,5,0),0)</f>
        <v/>
      </c>
      <c r="Q3" s="8">
        <f>CEILING($P3*Assumptions!$B$4/$D3,1)</f>
        <v/>
      </c>
      <c r="R3" s="8">
        <f>CEILING($P3*Assumptions!$B$5/$D3,1)</f>
        <v/>
      </c>
      <c r="S3" s="8">
        <f>CEILING($P3*Assumptions!$B$6/$D3,1)</f>
        <v/>
      </c>
      <c r="T3" s="7">
        <f>IF(ISNUMBER($E3),$E3*(1+IF($J3="Y",0,Assumptions!$B$3)),"")</f>
        <v/>
      </c>
      <c r="U3" s="7">
        <f>IF(ISNUMBER($E3),IF(AND(ISNUMBER($G3),ISNUMBER($F3)),IF($F3&lt;=$R3,$G3,$E3),$E3)*(1+IF($J3="Y",0,Assumptions!$B$3)),"")</f>
        <v/>
      </c>
      <c r="V3" s="7">
        <f>IF(ISNUMBER($E3),IF(AND(ISNUMBER($I3),ISNUMBER($H3)),IF($H3&lt;=$S3,$I3,IF(AND(ISNUMBER($G3),ISNUMBER($F3)),IF($F3&lt;=$S3,$G3,$E3),$E3)),IF(AND(ISNUMBER($G3),ISNUMBER($F3)),IF($F3&lt;=$S3,$G3,$E3),$E3))*(1+IF($J3="Y",0,Assumptions!$B$3)),"")</f>
        <v/>
      </c>
      <c r="W3" s="7">
        <f>IF(ISNUMBER($T3),$Q3*$T3/Assumptions!$B$4,"")</f>
        <v/>
      </c>
      <c r="X3" s="7">
        <f>IF(ISNUMBER($U3),$R3*$U3/Assumptions!$B$5,"")</f>
        <v/>
      </c>
      <c r="Y3" s="7">
        <f>IF(ISNUMBER($V3),$S3*$V3/Assumptions!$B$6,"")</f>
        <v/>
      </c>
      <c r="Z3" s="8">
        <f>$A3&amp;"|"&amp;IF(ISNUMBER($W3),TEXT($W3,"0.0000"),"x")&amp;"|"&amp;$L3</f>
        <v/>
      </c>
      <c r="AA3" s="8">
        <f>$A3&amp;"|"&amp;IF(ISNUMBER($Y3),TEXT($Y3,"0.0000"),"x")&amp;"|"&amp;$L3</f>
        <v/>
      </c>
    </row>
    <row r="4">
      <c r="A4" s="8" t="inlineStr">
        <is>
          <t>H02</t>
        </is>
      </c>
      <c r="B4" s="8" t="inlineStr">
        <is>
          <t>Mouser Australia</t>
        </is>
      </c>
      <c r="C4" s="8" t="inlineStr">
        <is>
          <t>CD74HCT02E (595-CD74HCT02E)</t>
        </is>
      </c>
      <c r="D4" s="12" t="n">
        <v>1</v>
      </c>
      <c r="E4" s="14" t="n">
        <v>1.06</v>
      </c>
      <c r="F4" s="12" t="n">
        <v>10</v>
      </c>
      <c r="G4" s="14" t="n">
        <v>0.754</v>
      </c>
      <c r="H4" s="12" t="n">
        <v>100</v>
      </c>
      <c r="I4" s="14" t="n">
        <v>0.597</v>
      </c>
      <c r="J4" s="12" t="inlineStr">
        <is>
          <t>N</t>
        </is>
      </c>
      <c r="K4" s="8" t="inlineStr">
        <is>
          <t>2054</t>
        </is>
      </c>
      <c r="L4" s="12" t="inlineStr">
        <is>
          <t>Y</t>
        </is>
      </c>
      <c r="M4" s="8" t="inlineStr">
        <is>
          <t>2026-10-25</t>
        </is>
      </c>
      <c r="N4" s="15" t="inlineStr">
        <is>
          <t>https://au.mouser.com/c/?q=CD74HCT02E</t>
        </is>
      </c>
      <c r="O4" s="8" t="inlineStr">
        <is>
          <t>Mouser page states no GST treatment; treated as ex GST. TI PDIP-14.</t>
        </is>
      </c>
      <c r="P4" s="8">
        <f>IFERROR(VLOOKUP($A4,BOM!$A$2:$E$51,5,0),0)</f>
        <v/>
      </c>
      <c r="Q4" s="8">
        <f>CEILING($P4*Assumptions!$B$4/$D4,1)</f>
        <v/>
      </c>
      <c r="R4" s="8">
        <f>CEILING($P4*Assumptions!$B$5/$D4,1)</f>
        <v/>
      </c>
      <c r="S4" s="8">
        <f>CEILING($P4*Assumptions!$B$6/$D4,1)</f>
        <v/>
      </c>
      <c r="T4" s="7">
        <f>IF(ISNUMBER($E4),$E4*(1+IF($J4="Y",0,Assumptions!$B$3)),"")</f>
        <v/>
      </c>
      <c r="U4" s="7">
        <f>IF(ISNUMBER($E4),IF(AND(ISNUMBER($G4),ISNUMBER($F4)),IF($F4&lt;=$R4,$G4,$E4),$E4)*(1+IF($J4="Y",0,Assumptions!$B$3)),"")</f>
        <v/>
      </c>
      <c r="V4" s="7">
        <f>IF(ISNUMBER($E4),IF(AND(ISNUMBER($I4),ISNUMBER($H4)),IF($H4&lt;=$S4,$I4,IF(AND(ISNUMBER($G4),ISNUMBER($F4)),IF($F4&lt;=$S4,$G4,$E4),$E4)),IF(AND(ISNUMBER($G4),ISNUMBER($F4)),IF($F4&lt;=$S4,$G4,$E4),$E4))*(1+IF($J4="Y",0,Assumptions!$B$3)),"")</f>
        <v/>
      </c>
      <c r="W4" s="7">
        <f>IF(ISNUMBER($T4),$Q4*$T4/Assumptions!$B$4,"")</f>
        <v/>
      </c>
      <c r="X4" s="7">
        <f>IF(ISNUMBER($U4),$R4*$U4/Assumptions!$B$5,"")</f>
        <v/>
      </c>
      <c r="Y4" s="7">
        <f>IF(ISNUMBER($V4),$S4*$V4/Assumptions!$B$6,"")</f>
        <v/>
      </c>
      <c r="Z4" s="8">
        <f>$A4&amp;"|"&amp;IF(ISNUMBER($W4),TEXT($W4,"0.0000"),"x")&amp;"|"&amp;$L4</f>
        <v/>
      </c>
      <c r="AA4" s="8">
        <f>$A4&amp;"|"&amp;IF(ISNUMBER($Y4),TEXT($Y4,"0.0000"),"x")&amp;"|"&amp;$L4</f>
        <v/>
      </c>
    </row>
    <row r="5">
      <c r="A5" s="8" t="inlineStr">
        <is>
          <t>H02</t>
        </is>
      </c>
      <c r="B5" s="8" t="inlineStr">
        <is>
          <t>Wiltronics (AU)</t>
        </is>
      </c>
      <c r="C5" s="8" t="inlineStr">
        <is>
          <t>74HCT02</t>
        </is>
      </c>
      <c r="D5" s="12" t="n">
        <v>1</v>
      </c>
      <c r="E5" s="14" t="n">
        <v>0.55</v>
      </c>
      <c r="F5" s="12" t="n">
        <v>10</v>
      </c>
      <c r="G5" s="14" t="n">
        <v>0.5</v>
      </c>
      <c r="H5" s="12" t="n">
        <v>25</v>
      </c>
      <c r="I5" s="14" t="n">
        <v>0.45</v>
      </c>
      <c r="J5" s="12" t="inlineStr">
        <is>
          <t>Y</t>
        </is>
      </c>
      <c r="K5" s="8" t="inlineStr">
        <is>
          <t>not shown</t>
        </is>
      </c>
      <c r="L5" s="12" t="inlineStr">
        <is>
          <t>Y</t>
        </is>
      </c>
      <c r="M5" s="8" t="inlineStr">
        <is>
          <t>2026-10-25</t>
        </is>
      </c>
      <c r="N5" s="15" t="inlineStr">
        <is>
          <t>https://www.wiltronics.com.au/product/3759/74hct02-quad-2-input-positive-nor-gate/</t>
        </is>
      </c>
      <c r="O5" s="8" t="inlineStr">
        <is>
          <t>Wiltronics states prices include GST; no stock indicator on page. Not on preferred list but Australian retailer. DIP-14; manufacturer not stated. element14 AU: no exact match for CD74HCT02E/SN74HCT02N.</t>
        </is>
      </c>
      <c r="P5" s="8">
        <f>IFERROR(VLOOKUP($A5,BOM!$A$2:$E$51,5,0),0)</f>
        <v/>
      </c>
      <c r="Q5" s="8">
        <f>CEILING($P5*Assumptions!$B$4/$D5,1)</f>
        <v/>
      </c>
      <c r="R5" s="8">
        <f>CEILING($P5*Assumptions!$B$5/$D5,1)</f>
        <v/>
      </c>
      <c r="S5" s="8">
        <f>CEILING($P5*Assumptions!$B$6/$D5,1)</f>
        <v/>
      </c>
      <c r="T5" s="7">
        <f>IF(ISNUMBER($E5),$E5*(1+IF($J5="Y",0,Assumptions!$B$3)),"")</f>
        <v/>
      </c>
      <c r="U5" s="7">
        <f>IF(ISNUMBER($E5),IF(AND(ISNUMBER($G5),ISNUMBER($F5)),IF($F5&lt;=$R5,$G5,$E5),$E5)*(1+IF($J5="Y",0,Assumptions!$B$3)),"")</f>
        <v/>
      </c>
      <c r="V5" s="7">
        <f>IF(ISNUMBER($E5),IF(AND(ISNUMBER($I5),ISNUMBER($H5)),IF($H5&lt;=$S5,$I5,IF(AND(ISNUMBER($G5),ISNUMBER($F5)),IF($F5&lt;=$S5,$G5,$E5),$E5)),IF(AND(ISNUMBER($G5),ISNUMBER($F5)),IF($F5&lt;=$S5,$G5,$E5),$E5))*(1+IF($J5="Y",0,Assumptions!$B$3)),"")</f>
        <v/>
      </c>
      <c r="W5" s="7">
        <f>IF(ISNUMBER($T5),$Q5*$T5/Assumptions!$B$4,"")</f>
        <v/>
      </c>
      <c r="X5" s="7">
        <f>IF(ISNUMBER($U5),$R5*$U5/Assumptions!$B$5,"")</f>
        <v/>
      </c>
      <c r="Y5" s="7">
        <f>IF(ISNUMBER($V5),$S5*$V5/Assumptions!$B$6,"")</f>
        <v/>
      </c>
      <c r="Z5" s="8">
        <f>$A5&amp;"|"&amp;IF(ISNUMBER($W5),TEXT($W5,"0.0000"),"x")&amp;"|"&amp;$L5</f>
        <v/>
      </c>
      <c r="AA5" s="8">
        <f>$A5&amp;"|"&amp;IF(ISNUMBER($Y5),TEXT($Y5,"0.0000"),"x")&amp;"|"&amp;$L5</f>
        <v/>
      </c>
    </row>
    <row r="6">
      <c r="A6" s="8" t="inlineStr">
        <is>
          <t>H04</t>
        </is>
      </c>
      <c r="B6" s="8" t="inlineStr">
        <is>
          <t>Mouser Australia</t>
        </is>
      </c>
      <c r="C6" s="8" t="inlineStr">
        <is>
          <t>CD74HCT04E (595-CD74HCT04E)</t>
        </is>
      </c>
      <c r="D6" s="12" t="n">
        <v>1</v>
      </c>
      <c r="E6" s="14" t="n">
        <v>1.33</v>
      </c>
      <c r="F6" s="12" t="n">
        <v>10</v>
      </c>
      <c r="G6" s="14" t="n">
        <v>0.961</v>
      </c>
      <c r="H6" s="12" t="n">
        <v>100</v>
      </c>
      <c r="I6" s="14" t="n">
        <v>0.769</v>
      </c>
      <c r="J6" s="12" t="inlineStr">
        <is>
          <t>N</t>
        </is>
      </c>
      <c r="K6" s="8" t="inlineStr">
        <is>
          <t>3913</t>
        </is>
      </c>
      <c r="L6" s="12" t="inlineStr">
        <is>
          <t>Y</t>
        </is>
      </c>
      <c r="M6" s="8" t="inlineStr">
        <is>
          <t>2026-10-25</t>
        </is>
      </c>
      <c r="N6" s="15" t="inlineStr">
        <is>
          <t>https://au.mouser.com/c/?q=CD74HCT04E</t>
        </is>
      </c>
      <c r="O6" s="8" t="inlineStr">
        <is>
          <t>Mouser page states no GST treatment; treated as ex GST. TI PDIP-14.</t>
        </is>
      </c>
      <c r="P6" s="8">
        <f>IFERROR(VLOOKUP($A6,BOM!$A$2:$E$51,5,0),0)</f>
        <v/>
      </c>
      <c r="Q6" s="8">
        <f>CEILING($P6*Assumptions!$B$4/$D6,1)</f>
        <v/>
      </c>
      <c r="R6" s="8">
        <f>CEILING($P6*Assumptions!$B$5/$D6,1)</f>
        <v/>
      </c>
      <c r="S6" s="8">
        <f>CEILING($P6*Assumptions!$B$6/$D6,1)</f>
        <v/>
      </c>
      <c r="T6" s="7">
        <f>IF(ISNUMBER($E6),$E6*(1+IF($J6="Y",0,Assumptions!$B$3)),"")</f>
        <v/>
      </c>
      <c r="U6" s="7">
        <f>IF(ISNUMBER($E6),IF(AND(ISNUMBER($G6),ISNUMBER($F6)),IF($F6&lt;=$R6,$G6,$E6),$E6)*(1+IF($J6="Y",0,Assumptions!$B$3)),"")</f>
        <v/>
      </c>
      <c r="V6" s="7">
        <f>IF(ISNUMBER($E6),IF(AND(ISNUMBER($I6),ISNUMBER($H6)),IF($H6&lt;=$S6,$I6,IF(AND(ISNUMBER($G6),ISNUMBER($F6)),IF($F6&lt;=$S6,$G6,$E6),$E6)),IF(AND(ISNUMBER($G6),ISNUMBER($F6)),IF($F6&lt;=$S6,$G6,$E6),$E6))*(1+IF($J6="Y",0,Assumptions!$B$3)),"")</f>
        <v/>
      </c>
      <c r="W6" s="7">
        <f>IF(ISNUMBER($T6),$Q6*$T6/Assumptions!$B$4,"")</f>
        <v/>
      </c>
      <c r="X6" s="7">
        <f>IF(ISNUMBER($U6),$R6*$U6/Assumptions!$B$5,"")</f>
        <v/>
      </c>
      <c r="Y6" s="7">
        <f>IF(ISNUMBER($V6),$S6*$V6/Assumptions!$B$6,"")</f>
        <v/>
      </c>
      <c r="Z6" s="8">
        <f>$A6&amp;"|"&amp;IF(ISNUMBER($W6),TEXT($W6,"0.0000"),"x")&amp;"|"&amp;$L6</f>
        <v/>
      </c>
      <c r="AA6" s="8">
        <f>$A6&amp;"|"&amp;IF(ISNUMBER($Y6),TEXT($Y6,"0.0000"),"x")&amp;"|"&amp;$L6</f>
        <v/>
      </c>
    </row>
    <row r="7">
      <c r="A7" s="8" t="inlineStr">
        <is>
          <t>H04</t>
        </is>
      </c>
      <c r="B7" s="8" t="inlineStr">
        <is>
          <t>Wiltronics (AU)</t>
        </is>
      </c>
      <c r="C7" s="8" t="inlineStr">
        <is>
          <t>74HCT04</t>
        </is>
      </c>
      <c r="D7" s="12" t="n">
        <v>1</v>
      </c>
      <c r="E7" s="14" t="n">
        <v>0.66</v>
      </c>
      <c r="F7" s="12" t="n">
        <v>10</v>
      </c>
      <c r="G7" s="14" t="n">
        <v>0.6</v>
      </c>
      <c r="H7" s="12" t="n">
        <v>25</v>
      </c>
      <c r="I7" s="14" t="n">
        <v>0.48</v>
      </c>
      <c r="J7" s="12" t="inlineStr">
        <is>
          <t>Y</t>
        </is>
      </c>
      <c r="K7" s="8" t="inlineStr">
        <is>
          <t>not shown</t>
        </is>
      </c>
      <c r="L7" s="12" t="inlineStr">
        <is>
          <t>Y</t>
        </is>
      </c>
      <c r="M7" s="8" t="inlineStr">
        <is>
          <t>2026-10-25</t>
        </is>
      </c>
      <c r="N7" s="15" t="inlineStr">
        <is>
          <t>https://www.wiltronics.com.au/product/320/74hct04-hex-inverter-3/</t>
        </is>
      </c>
      <c r="O7" s="8" t="inlineStr">
        <is>
          <t>Wiltronics states prices include GST; no stock indicator on page. Not on preferred list but Australian retailer. DIP-14. element14 AU: no exact match for CD74HCT04E/SN74HCT04N.</t>
        </is>
      </c>
      <c r="P7" s="8">
        <f>IFERROR(VLOOKUP($A7,BOM!$A$2:$E$51,5,0),0)</f>
        <v/>
      </c>
      <c r="Q7" s="8">
        <f>CEILING($P7*Assumptions!$B$4/$D7,1)</f>
        <v/>
      </c>
      <c r="R7" s="8">
        <f>CEILING($P7*Assumptions!$B$5/$D7,1)</f>
        <v/>
      </c>
      <c r="S7" s="8">
        <f>CEILING($P7*Assumptions!$B$6/$D7,1)</f>
        <v/>
      </c>
      <c r="T7" s="7">
        <f>IF(ISNUMBER($E7),$E7*(1+IF($J7="Y",0,Assumptions!$B$3)),"")</f>
        <v/>
      </c>
      <c r="U7" s="7">
        <f>IF(ISNUMBER($E7),IF(AND(ISNUMBER($G7),ISNUMBER($F7)),IF($F7&lt;=$R7,$G7,$E7),$E7)*(1+IF($J7="Y",0,Assumptions!$B$3)),"")</f>
        <v/>
      </c>
      <c r="V7" s="7">
        <f>IF(ISNUMBER($E7),IF(AND(ISNUMBER($I7),ISNUMBER($H7)),IF($H7&lt;=$S7,$I7,IF(AND(ISNUMBER($G7),ISNUMBER($F7)),IF($F7&lt;=$S7,$G7,$E7),$E7)),IF(AND(ISNUMBER($G7),ISNUMBER($F7)),IF($F7&lt;=$S7,$G7,$E7),$E7))*(1+IF($J7="Y",0,Assumptions!$B$3)),"")</f>
        <v/>
      </c>
      <c r="W7" s="7">
        <f>IF(ISNUMBER($T7),$Q7*$T7/Assumptions!$B$4,"")</f>
        <v/>
      </c>
      <c r="X7" s="7">
        <f>IF(ISNUMBER($U7),$R7*$U7/Assumptions!$B$5,"")</f>
        <v/>
      </c>
      <c r="Y7" s="7">
        <f>IF(ISNUMBER($V7),$S7*$V7/Assumptions!$B$6,"")</f>
        <v/>
      </c>
      <c r="Z7" s="8">
        <f>$A7&amp;"|"&amp;IF(ISNUMBER($W7),TEXT($W7,"0.0000"),"x")&amp;"|"&amp;$L7</f>
        <v/>
      </c>
      <c r="AA7" s="8">
        <f>$A7&amp;"|"&amp;IF(ISNUMBER($Y7),TEXT($Y7,"0.0000"),"x")&amp;"|"&amp;$L7</f>
        <v/>
      </c>
    </row>
    <row r="8">
      <c r="A8" s="8" t="inlineStr">
        <is>
          <t>H08</t>
        </is>
      </c>
      <c r="B8" s="8" t="inlineStr">
        <is>
          <t>Core Electronics</t>
        </is>
      </c>
      <c r="C8" s="8" t="inlineStr">
        <is>
          <t>SN74HCT08N (SKU 002-595-SN74HCT08N)</t>
        </is>
      </c>
      <c r="D8" s="12" t="n">
        <v>1</v>
      </c>
      <c r="E8" s="14" t="n">
        <v>1.9</v>
      </c>
      <c r="F8" s="12" t="n">
        <v>10</v>
      </c>
      <c r="G8" s="14" t="n"/>
      <c r="H8" s="12" t="n">
        <v>25</v>
      </c>
      <c r="I8" s="14" t="n"/>
      <c r="J8" s="12" t="inlineStr">
        <is>
          <t>Y</t>
        </is>
      </c>
      <c r="K8" s="8" t="inlineStr">
        <is>
          <t>0 local (out of stock)</t>
        </is>
      </c>
      <c r="L8" s="12" t="inlineStr">
        <is>
          <t>Y</t>
        </is>
      </c>
      <c r="M8" s="8" t="inlineStr">
        <is>
          <t>2026-10-25</t>
        </is>
      </c>
      <c r="N8" s="15" t="inlineStr">
        <is>
          <t>https://core-electronics.com.au/74hct08-quad-2-input-and-gate.html</t>
        </is>
      </c>
      <c r="O8" s="8" t="inlineStr">
        <is>
          <t>Third source. $1.90 inc GST; breaks shown ex GST only: 10+ $1.65, 25+ $1.61. Appears to be Mouser-sourced (002-595 prefix).</t>
        </is>
      </c>
      <c r="P8" s="8">
        <f>IFERROR(VLOOKUP($A8,BOM!$A$2:$E$51,5,0),0)</f>
        <v/>
      </c>
      <c r="Q8" s="8">
        <f>CEILING($P8*Assumptions!$B$4/$D8,1)</f>
        <v/>
      </c>
      <c r="R8" s="8">
        <f>CEILING($P8*Assumptions!$B$5/$D8,1)</f>
        <v/>
      </c>
      <c r="S8" s="8">
        <f>CEILING($P8*Assumptions!$B$6/$D8,1)</f>
        <v/>
      </c>
      <c r="T8" s="7">
        <f>IF(ISNUMBER($E8),$E8*(1+IF($J8="Y",0,Assumptions!$B$3)),"")</f>
        <v/>
      </c>
      <c r="U8" s="7">
        <f>IF(ISNUMBER($E8),IF(AND(ISNUMBER($G8),ISNUMBER($F8)),IF($F8&lt;=$R8,$G8,$E8),$E8)*(1+IF($J8="Y",0,Assumptions!$B$3)),"")</f>
        <v/>
      </c>
      <c r="V8" s="7">
        <f>IF(ISNUMBER($E8),IF(AND(ISNUMBER($I8),ISNUMBER($H8)),IF($H8&lt;=$S8,$I8,IF(AND(ISNUMBER($G8),ISNUMBER($F8)),IF($F8&lt;=$S8,$G8,$E8),$E8)),IF(AND(ISNUMBER($G8),ISNUMBER($F8)),IF($F8&lt;=$S8,$G8,$E8),$E8))*(1+IF($J8="Y",0,Assumptions!$B$3)),"")</f>
        <v/>
      </c>
      <c r="W8" s="7">
        <f>IF(ISNUMBER($T8),$Q8*$T8/Assumptions!$B$4,"")</f>
        <v/>
      </c>
      <c r="X8" s="7">
        <f>IF(ISNUMBER($U8),$R8*$U8/Assumptions!$B$5,"")</f>
        <v/>
      </c>
      <c r="Y8" s="7">
        <f>IF(ISNUMBER($V8),$S8*$V8/Assumptions!$B$6,"")</f>
        <v/>
      </c>
      <c r="Z8" s="8">
        <f>$A8&amp;"|"&amp;IF(ISNUMBER($W8),TEXT($W8,"0.0000"),"x")&amp;"|"&amp;$L8</f>
        <v/>
      </c>
      <c r="AA8" s="8">
        <f>$A8&amp;"|"&amp;IF(ISNUMBER($Y8),TEXT($Y8,"0.0000"),"x")&amp;"|"&amp;$L8</f>
        <v/>
      </c>
    </row>
    <row r="9">
      <c r="A9" s="8" t="inlineStr">
        <is>
          <t>H08</t>
        </is>
      </c>
      <c r="B9" s="8" t="inlineStr">
        <is>
          <t>Mouser Australia</t>
        </is>
      </c>
      <c r="C9" s="8" t="inlineStr">
        <is>
          <t>CD74HCT08E (595-CD74HCT08E)</t>
        </is>
      </c>
      <c r="D9" s="12" t="n">
        <v>1</v>
      </c>
      <c r="E9" s="14" t="n">
        <v>1.41</v>
      </c>
      <c r="F9" s="12" t="n">
        <v>10</v>
      </c>
      <c r="G9" s="14" t="n">
        <v>1.02</v>
      </c>
      <c r="H9" s="12" t="n">
        <v>100</v>
      </c>
      <c r="I9" s="14" t="n">
        <v>0.8080000000000001</v>
      </c>
      <c r="J9" s="12" t="inlineStr">
        <is>
          <t>N</t>
        </is>
      </c>
      <c r="K9" s="8" t="inlineStr">
        <is>
          <t>544</t>
        </is>
      </c>
      <c r="L9" s="12" t="inlineStr">
        <is>
          <t>Y</t>
        </is>
      </c>
      <c r="M9" s="8" t="inlineStr">
        <is>
          <t>2026-10-25</t>
        </is>
      </c>
      <c r="N9" s="15" t="inlineStr">
        <is>
          <t>https://au.mouser.com/c/?q=CD74HCT08E</t>
        </is>
      </c>
      <c r="O9" s="8" t="inlineStr">
        <is>
          <t>Mouser page states no GST treatment; treated as ex GST. TI PDIP-14.</t>
        </is>
      </c>
      <c r="P9" s="8">
        <f>IFERROR(VLOOKUP($A9,BOM!$A$2:$E$51,5,0),0)</f>
        <v/>
      </c>
      <c r="Q9" s="8">
        <f>CEILING($P9*Assumptions!$B$4/$D9,1)</f>
        <v/>
      </c>
      <c r="R9" s="8">
        <f>CEILING($P9*Assumptions!$B$5/$D9,1)</f>
        <v/>
      </c>
      <c r="S9" s="8">
        <f>CEILING($P9*Assumptions!$B$6/$D9,1)</f>
        <v/>
      </c>
      <c r="T9" s="7">
        <f>IF(ISNUMBER($E9),$E9*(1+IF($J9="Y",0,Assumptions!$B$3)),"")</f>
        <v/>
      </c>
      <c r="U9" s="7">
        <f>IF(ISNUMBER($E9),IF(AND(ISNUMBER($G9),ISNUMBER($F9)),IF($F9&lt;=$R9,$G9,$E9),$E9)*(1+IF($J9="Y",0,Assumptions!$B$3)),"")</f>
        <v/>
      </c>
      <c r="V9" s="7">
        <f>IF(ISNUMBER($E9),IF(AND(ISNUMBER($I9),ISNUMBER($H9)),IF($H9&lt;=$S9,$I9,IF(AND(ISNUMBER($G9),ISNUMBER($F9)),IF($F9&lt;=$S9,$G9,$E9),$E9)),IF(AND(ISNUMBER($G9),ISNUMBER($F9)),IF($F9&lt;=$S9,$G9,$E9),$E9))*(1+IF($J9="Y",0,Assumptions!$B$3)),"")</f>
        <v/>
      </c>
      <c r="W9" s="7">
        <f>IF(ISNUMBER($T9),$Q9*$T9/Assumptions!$B$4,"")</f>
        <v/>
      </c>
      <c r="X9" s="7">
        <f>IF(ISNUMBER($U9),$R9*$U9/Assumptions!$B$5,"")</f>
        <v/>
      </c>
      <c r="Y9" s="7">
        <f>IF(ISNUMBER($V9),$S9*$V9/Assumptions!$B$6,"")</f>
        <v/>
      </c>
      <c r="Z9" s="8">
        <f>$A9&amp;"|"&amp;IF(ISNUMBER($W9),TEXT($W9,"0.0000"),"x")&amp;"|"&amp;$L9</f>
        <v/>
      </c>
      <c r="AA9" s="8">
        <f>$A9&amp;"|"&amp;IF(ISNUMBER($Y9),TEXT($Y9,"0.0000"),"x")&amp;"|"&amp;$L9</f>
        <v/>
      </c>
    </row>
    <row r="10">
      <c r="A10" s="8" t="inlineStr">
        <is>
          <t>H08</t>
        </is>
      </c>
      <c r="B10" s="8" t="inlineStr">
        <is>
          <t>element14 Australia</t>
        </is>
      </c>
      <c r="C10" s="8" t="inlineStr">
        <is>
          <t>SN74HCT08N (order code 3120497)</t>
        </is>
      </c>
      <c r="D10" s="12" t="n">
        <v>1</v>
      </c>
      <c r="E10" s="14" t="n">
        <v>1.37</v>
      </c>
      <c r="F10" s="12" t="n">
        <v>10</v>
      </c>
      <c r="G10" s="14" t="n">
        <v>0.89</v>
      </c>
      <c r="H10" s="12" t="n">
        <v>100</v>
      </c>
      <c r="I10" s="14" t="n">
        <v>0.739</v>
      </c>
      <c r="J10" s="12" t="inlineStr">
        <is>
          <t>N</t>
        </is>
      </c>
      <c r="K10" s="8" t="inlineStr">
        <is>
          <t>577 (UK stock, 3-5 business days)</t>
        </is>
      </c>
      <c r="L10" s="12" t="inlineStr">
        <is>
          <t>Y</t>
        </is>
      </c>
      <c r="M10" s="8" t="inlineStr">
        <is>
          <t>2026-10-25</t>
        </is>
      </c>
      <c r="N10" s="15" t="inlineStr">
        <is>
          <t>https://au.element14.com/w/search?st=SN74HCT08N</t>
        </is>
      </c>
      <c r="O10" s="8" t="inlineStr">
        <is>
          <t>element14 shows ex GST with incl-GST in brackets; ex-GST figures recorded. TI DIP-14; incl GST 1.507/0.979/0.8129.</t>
        </is>
      </c>
      <c r="P10" s="8">
        <f>IFERROR(VLOOKUP($A10,BOM!$A$2:$E$51,5,0),0)</f>
        <v/>
      </c>
      <c r="Q10" s="8">
        <f>CEILING($P10*Assumptions!$B$4/$D10,1)</f>
        <v/>
      </c>
      <c r="R10" s="8">
        <f>CEILING($P10*Assumptions!$B$5/$D10,1)</f>
        <v/>
      </c>
      <c r="S10" s="8">
        <f>CEILING($P10*Assumptions!$B$6/$D10,1)</f>
        <v/>
      </c>
      <c r="T10" s="7">
        <f>IF(ISNUMBER($E10),$E10*(1+IF($J10="Y",0,Assumptions!$B$3)),"")</f>
        <v/>
      </c>
      <c r="U10" s="7">
        <f>IF(ISNUMBER($E10),IF(AND(ISNUMBER($G10),ISNUMBER($F10)),IF($F10&lt;=$R10,$G10,$E10),$E10)*(1+IF($J10="Y",0,Assumptions!$B$3)),"")</f>
        <v/>
      </c>
      <c r="V10" s="7">
        <f>IF(ISNUMBER($E10),IF(AND(ISNUMBER($I10),ISNUMBER($H10)),IF($H10&lt;=$S10,$I10,IF(AND(ISNUMBER($G10),ISNUMBER($F10)),IF($F10&lt;=$S10,$G10,$E10),$E10)),IF(AND(ISNUMBER($G10),ISNUMBER($F10)),IF($F10&lt;=$S10,$G10,$E10),$E10))*(1+IF($J10="Y",0,Assumptions!$B$3)),"")</f>
        <v/>
      </c>
      <c r="W10" s="7">
        <f>IF(ISNUMBER($T10),$Q10*$T10/Assumptions!$B$4,"")</f>
        <v/>
      </c>
      <c r="X10" s="7">
        <f>IF(ISNUMBER($U10),$R10*$U10/Assumptions!$B$5,"")</f>
        <v/>
      </c>
      <c r="Y10" s="7">
        <f>IF(ISNUMBER($V10),$S10*$V10/Assumptions!$B$6,"")</f>
        <v/>
      </c>
      <c r="Z10" s="8">
        <f>$A10&amp;"|"&amp;IF(ISNUMBER($W10),TEXT($W10,"0.0000"),"x")&amp;"|"&amp;$L10</f>
        <v/>
      </c>
      <c r="AA10" s="8">
        <f>$A10&amp;"|"&amp;IF(ISNUMBER($Y10),TEXT($Y10,"0.0000"),"x")&amp;"|"&amp;$L10</f>
        <v/>
      </c>
    </row>
    <row r="11">
      <c r="A11" s="8" t="inlineStr">
        <is>
          <t>H32</t>
        </is>
      </c>
      <c r="B11" s="8" t="inlineStr">
        <is>
          <t>Mouser Australia</t>
        </is>
      </c>
      <c r="C11" s="8" t="inlineStr">
        <is>
          <t>CD74HCT32E (595-CD74HCT32E)</t>
        </is>
      </c>
      <c r="D11" s="12" t="n">
        <v>1</v>
      </c>
      <c r="E11" s="14" t="n">
        <v>1.36</v>
      </c>
      <c r="F11" s="12" t="n">
        <v>10</v>
      </c>
      <c r="G11" s="14" t="n">
        <v>0.999</v>
      </c>
      <c r="H11" s="12" t="n">
        <v>100</v>
      </c>
      <c r="I11" s="14" t="n">
        <v>0.799</v>
      </c>
      <c r="J11" s="12" t="inlineStr">
        <is>
          <t>N</t>
        </is>
      </c>
      <c r="K11" s="8" t="inlineStr">
        <is>
          <t>845 (+2000 due 19/11/2026)</t>
        </is>
      </c>
      <c r="L11" s="12" t="inlineStr">
        <is>
          <t>Y</t>
        </is>
      </c>
      <c r="M11" s="8" t="inlineStr">
        <is>
          <t>2026-10-25</t>
        </is>
      </c>
      <c r="N11" s="15" t="inlineStr">
        <is>
          <t>https://au.mouser.com/c/?q=CD74HCT32E</t>
        </is>
      </c>
      <c r="O11" s="8" t="inlineStr">
        <is>
          <t>Mouser page states no GST treatment; treated as ex GST. TI PDIP-14.</t>
        </is>
      </c>
      <c r="P11" s="8">
        <f>IFERROR(VLOOKUP($A11,BOM!$A$2:$E$51,5,0),0)</f>
        <v/>
      </c>
      <c r="Q11" s="8">
        <f>CEILING($P11*Assumptions!$B$4/$D11,1)</f>
        <v/>
      </c>
      <c r="R11" s="8">
        <f>CEILING($P11*Assumptions!$B$5/$D11,1)</f>
        <v/>
      </c>
      <c r="S11" s="8">
        <f>CEILING($P11*Assumptions!$B$6/$D11,1)</f>
        <v/>
      </c>
      <c r="T11" s="7">
        <f>IF(ISNUMBER($E11),$E11*(1+IF($J11="Y",0,Assumptions!$B$3)),"")</f>
        <v/>
      </c>
      <c r="U11" s="7">
        <f>IF(ISNUMBER($E11),IF(AND(ISNUMBER($G11),ISNUMBER($F11)),IF($F11&lt;=$R11,$G11,$E11),$E11)*(1+IF($J11="Y",0,Assumptions!$B$3)),"")</f>
        <v/>
      </c>
      <c r="V11" s="7">
        <f>IF(ISNUMBER($E11),IF(AND(ISNUMBER($I11),ISNUMBER($H11)),IF($H11&lt;=$S11,$I11,IF(AND(ISNUMBER($G11),ISNUMBER($F11)),IF($F11&lt;=$S11,$G11,$E11),$E11)),IF(AND(ISNUMBER($G11),ISNUMBER($F11)),IF($F11&lt;=$S11,$G11,$E11),$E11))*(1+IF($J11="Y",0,Assumptions!$B$3)),"")</f>
        <v/>
      </c>
      <c r="W11" s="7">
        <f>IF(ISNUMBER($T11),$Q11*$T11/Assumptions!$B$4,"")</f>
        <v/>
      </c>
      <c r="X11" s="7">
        <f>IF(ISNUMBER($U11),$R11*$U11/Assumptions!$B$5,"")</f>
        <v/>
      </c>
      <c r="Y11" s="7">
        <f>IF(ISNUMBER($V11),$S11*$V11/Assumptions!$B$6,"")</f>
        <v/>
      </c>
      <c r="Z11" s="8">
        <f>$A11&amp;"|"&amp;IF(ISNUMBER($W11),TEXT($W11,"0.0000"),"x")&amp;"|"&amp;$L11</f>
        <v/>
      </c>
      <c r="AA11" s="8">
        <f>$A11&amp;"|"&amp;IF(ISNUMBER($Y11),TEXT($Y11,"0.0000"),"x")&amp;"|"&amp;$L11</f>
        <v/>
      </c>
    </row>
    <row r="12">
      <c r="A12" s="8" t="inlineStr">
        <is>
          <t>H32</t>
        </is>
      </c>
      <c r="B12" s="8" t="inlineStr">
        <is>
          <t>Wiltronics (AU)</t>
        </is>
      </c>
      <c r="C12" s="8" t="inlineStr">
        <is>
          <t>74HCT32</t>
        </is>
      </c>
      <c r="D12" s="12" t="n">
        <v>1</v>
      </c>
      <c r="E12" s="14" t="n">
        <v>0.66</v>
      </c>
      <c r="F12" s="12" t="n">
        <v>10</v>
      </c>
      <c r="G12" s="14" t="n">
        <v>0.6</v>
      </c>
      <c r="H12" s="12" t="n">
        <v>25</v>
      </c>
      <c r="I12" s="14" t="n">
        <v>0.48</v>
      </c>
      <c r="J12" s="12" t="inlineStr">
        <is>
          <t>Y</t>
        </is>
      </c>
      <c r="K12" s="8" t="inlineStr">
        <is>
          <t>not shown</t>
        </is>
      </c>
      <c r="L12" s="12" t="inlineStr">
        <is>
          <t>Y</t>
        </is>
      </c>
      <c r="M12" s="8" t="inlineStr">
        <is>
          <t>2026-10-25</t>
        </is>
      </c>
      <c r="N12" s="15" t="inlineStr">
        <is>
          <t>https://wiltronics.com.au/?p=335</t>
        </is>
      </c>
      <c r="O12" s="8" t="inlineStr">
        <is>
          <t>Wiltronics states prices include GST; no stock indicator on page. Not on preferred list but Australian retailer. DIP-14. Core Electronics also lists SN74HCT32N at $2.55 inc GST, 0 local stock.</t>
        </is>
      </c>
      <c r="P12" s="8">
        <f>IFERROR(VLOOKUP($A12,BOM!$A$2:$E$51,5,0),0)</f>
        <v/>
      </c>
      <c r="Q12" s="8">
        <f>CEILING($P12*Assumptions!$B$4/$D12,1)</f>
        <v/>
      </c>
      <c r="R12" s="8">
        <f>CEILING($P12*Assumptions!$B$5/$D12,1)</f>
        <v/>
      </c>
      <c r="S12" s="8">
        <f>CEILING($P12*Assumptions!$B$6/$D12,1)</f>
        <v/>
      </c>
      <c r="T12" s="7">
        <f>IF(ISNUMBER($E12),$E12*(1+IF($J12="Y",0,Assumptions!$B$3)),"")</f>
        <v/>
      </c>
      <c r="U12" s="7">
        <f>IF(ISNUMBER($E12),IF(AND(ISNUMBER($G12),ISNUMBER($F12)),IF($F12&lt;=$R12,$G12,$E12),$E12)*(1+IF($J12="Y",0,Assumptions!$B$3)),"")</f>
        <v/>
      </c>
      <c r="V12" s="7">
        <f>IF(ISNUMBER($E12),IF(AND(ISNUMBER($I12),ISNUMBER($H12)),IF($H12&lt;=$S12,$I12,IF(AND(ISNUMBER($G12),ISNUMBER($F12)),IF($F12&lt;=$S12,$G12,$E12),$E12)),IF(AND(ISNUMBER($G12),ISNUMBER($F12)),IF($F12&lt;=$S12,$G12,$E12),$E12))*(1+IF($J12="Y",0,Assumptions!$B$3)),"")</f>
        <v/>
      </c>
      <c r="W12" s="7">
        <f>IF(ISNUMBER($T12),$Q12*$T12/Assumptions!$B$4,"")</f>
        <v/>
      </c>
      <c r="X12" s="7">
        <f>IF(ISNUMBER($U12),$R12*$U12/Assumptions!$B$5,"")</f>
        <v/>
      </c>
      <c r="Y12" s="7">
        <f>IF(ISNUMBER($V12),$S12*$V12/Assumptions!$B$6,"")</f>
        <v/>
      </c>
      <c r="Z12" s="8">
        <f>$A12&amp;"|"&amp;IF(ISNUMBER($W12),TEXT($W12,"0.0000"),"x")&amp;"|"&amp;$L12</f>
        <v/>
      </c>
      <c r="AA12" s="8">
        <f>$A12&amp;"|"&amp;IF(ISNUMBER($Y12),TEXT($Y12,"0.0000"),"x")&amp;"|"&amp;$L12</f>
        <v/>
      </c>
    </row>
    <row r="13">
      <c r="A13" s="8" t="inlineStr">
        <is>
          <t>H32</t>
        </is>
      </c>
      <c r="B13" s="8" t="inlineStr">
        <is>
          <t>element14 Australia</t>
        </is>
      </c>
      <c r="C13" s="8" t="inlineStr">
        <is>
          <t>SN74HCT32N (order code 3120505)</t>
        </is>
      </c>
      <c r="D13" s="12" t="n">
        <v>1</v>
      </c>
      <c r="E13" s="14" t="n">
        <v>1.4</v>
      </c>
      <c r="F13" s="12" t="n">
        <v>10</v>
      </c>
      <c r="G13" s="14" t="n">
        <v>0.897</v>
      </c>
      <c r="H13" s="12" t="n">
        <v>100</v>
      </c>
      <c r="I13" s="14" t="n">
        <v>0.739</v>
      </c>
      <c r="J13" s="12" t="inlineStr">
        <is>
          <t>N</t>
        </is>
      </c>
      <c r="K13" s="8" t="inlineStr">
        <is>
          <t>0 on hand; available to order, deliveries from 02/01/2027, 16 wk lead</t>
        </is>
      </c>
      <c r="L13" s="12" t="inlineStr">
        <is>
          <t>Y</t>
        </is>
      </c>
      <c r="M13" s="8" t="inlineStr">
        <is>
          <t>2026-10-25</t>
        </is>
      </c>
      <c r="N13" s="15" t="inlineStr">
        <is>
          <t>https://au.element14.com/w/search?st=SN74HCT32N</t>
        </is>
      </c>
      <c r="O13" s="8" t="inlineStr">
        <is>
          <t>element14 shows ex GST with incl-GST in brackets; ex-GST figures recorded. TI DIP-14.</t>
        </is>
      </c>
      <c r="P13" s="8">
        <f>IFERROR(VLOOKUP($A13,BOM!$A$2:$E$51,5,0),0)</f>
        <v/>
      </c>
      <c r="Q13" s="8">
        <f>CEILING($P13*Assumptions!$B$4/$D13,1)</f>
        <v/>
      </c>
      <c r="R13" s="8">
        <f>CEILING($P13*Assumptions!$B$5/$D13,1)</f>
        <v/>
      </c>
      <c r="S13" s="8">
        <f>CEILING($P13*Assumptions!$B$6/$D13,1)</f>
        <v/>
      </c>
      <c r="T13" s="7">
        <f>IF(ISNUMBER($E13),$E13*(1+IF($J13="Y",0,Assumptions!$B$3)),"")</f>
        <v/>
      </c>
      <c r="U13" s="7">
        <f>IF(ISNUMBER($E13),IF(AND(ISNUMBER($G13),ISNUMBER($F13)),IF($F13&lt;=$R13,$G13,$E13),$E13)*(1+IF($J13="Y",0,Assumptions!$B$3)),"")</f>
        <v/>
      </c>
      <c r="V13" s="7">
        <f>IF(ISNUMBER($E13),IF(AND(ISNUMBER($I13),ISNUMBER($H13)),IF($H13&lt;=$S13,$I13,IF(AND(ISNUMBER($G13),ISNUMBER($F13)),IF($F13&lt;=$S13,$G13,$E13),$E13)),IF(AND(ISNUMBER($G13),ISNUMBER($F13)),IF($F13&lt;=$S13,$G13,$E13),$E13))*(1+IF($J13="Y",0,Assumptions!$B$3)),"")</f>
        <v/>
      </c>
      <c r="W13" s="7">
        <f>IF(ISNUMBER($T13),$Q13*$T13/Assumptions!$B$4,"")</f>
        <v/>
      </c>
      <c r="X13" s="7">
        <f>IF(ISNUMBER($U13),$R13*$U13/Assumptions!$B$5,"")</f>
        <v/>
      </c>
      <c r="Y13" s="7">
        <f>IF(ISNUMBER($V13),$S13*$V13/Assumptions!$B$6,"")</f>
        <v/>
      </c>
      <c r="Z13" s="8">
        <f>$A13&amp;"|"&amp;IF(ISNUMBER($W13),TEXT($W13,"0.0000"),"x")&amp;"|"&amp;$L13</f>
        <v/>
      </c>
      <c r="AA13" s="8">
        <f>$A13&amp;"|"&amp;IF(ISNUMBER($Y13),TEXT($Y13,"0.0000"),"x")&amp;"|"&amp;$L13</f>
        <v/>
      </c>
    </row>
    <row r="14">
      <c r="A14" s="8" t="inlineStr">
        <is>
          <t>H86</t>
        </is>
      </c>
      <c r="B14" s="8" t="inlineStr">
        <is>
          <t>Mouser Australia</t>
        </is>
      </c>
      <c r="C14" s="8" t="inlineStr">
        <is>
          <t>CD74HCT86E (595-CD74HCT86E)</t>
        </is>
      </c>
      <c r="D14" s="12" t="n">
        <v>1</v>
      </c>
      <c r="E14" s="14" t="n">
        <v>1.64</v>
      </c>
      <c r="F14" s="12" t="n">
        <v>10</v>
      </c>
      <c r="G14" s="14" t="n">
        <v>1.17</v>
      </c>
      <c r="H14" s="12" t="n">
        <v>100</v>
      </c>
      <c r="I14" s="14" t="n">
        <v>0.924</v>
      </c>
      <c r="J14" s="12" t="inlineStr">
        <is>
          <t>N</t>
        </is>
      </c>
      <c r="K14" s="8" t="inlineStr">
        <is>
          <t>2754</t>
        </is>
      </c>
      <c r="L14" s="12" t="inlineStr">
        <is>
          <t>Y</t>
        </is>
      </c>
      <c r="M14" s="8" t="inlineStr">
        <is>
          <t>2026-10-25</t>
        </is>
      </c>
      <c r="N14" s="15" t="inlineStr">
        <is>
          <t>https://au.mouser.com/c/?q=CD74HCT86E</t>
        </is>
      </c>
      <c r="O14" s="8" t="inlineStr">
        <is>
          <t>Mouser page states no GST treatment; treated as ex GST. TI PDIP-14. Alt on same page: CD74HCT86EE4 571 stock, 1.62/1.20/0.924.</t>
        </is>
      </c>
      <c r="P14" s="8">
        <f>IFERROR(VLOOKUP($A14,BOM!$A$2:$E$51,5,0),0)</f>
        <v/>
      </c>
      <c r="Q14" s="8">
        <f>CEILING($P14*Assumptions!$B$4/$D14,1)</f>
        <v/>
      </c>
      <c r="R14" s="8">
        <f>CEILING($P14*Assumptions!$B$5/$D14,1)</f>
        <v/>
      </c>
      <c r="S14" s="8">
        <f>CEILING($P14*Assumptions!$B$6/$D14,1)</f>
        <v/>
      </c>
      <c r="T14" s="7">
        <f>IF(ISNUMBER($E14),$E14*(1+IF($J14="Y",0,Assumptions!$B$3)),"")</f>
        <v/>
      </c>
      <c r="U14" s="7">
        <f>IF(ISNUMBER($E14),IF(AND(ISNUMBER($G14),ISNUMBER($F14)),IF($F14&lt;=$R14,$G14,$E14),$E14)*(1+IF($J14="Y",0,Assumptions!$B$3)),"")</f>
        <v/>
      </c>
      <c r="V14" s="7">
        <f>IF(ISNUMBER($E14),IF(AND(ISNUMBER($I14),ISNUMBER($H14)),IF($H14&lt;=$S14,$I14,IF(AND(ISNUMBER($G14),ISNUMBER($F14)),IF($F14&lt;=$S14,$G14,$E14),$E14)),IF(AND(ISNUMBER($G14),ISNUMBER($F14)),IF($F14&lt;=$S14,$G14,$E14),$E14))*(1+IF($J14="Y",0,Assumptions!$B$3)),"")</f>
        <v/>
      </c>
      <c r="W14" s="7">
        <f>IF(ISNUMBER($T14),$Q14*$T14/Assumptions!$B$4,"")</f>
        <v/>
      </c>
      <c r="X14" s="7">
        <f>IF(ISNUMBER($U14),$R14*$U14/Assumptions!$B$5,"")</f>
        <v/>
      </c>
      <c r="Y14" s="7">
        <f>IF(ISNUMBER($V14),$S14*$V14/Assumptions!$B$6,"")</f>
        <v/>
      </c>
      <c r="Z14" s="8">
        <f>$A14&amp;"|"&amp;IF(ISNUMBER($W14),TEXT($W14,"0.0000"),"x")&amp;"|"&amp;$L14</f>
        <v/>
      </c>
      <c r="AA14" s="8">
        <f>$A14&amp;"|"&amp;IF(ISNUMBER($Y14),TEXT($Y14,"0.0000"),"x")&amp;"|"&amp;$L14</f>
        <v/>
      </c>
    </row>
    <row r="15">
      <c r="A15" s="16" t="inlineStr">
        <is>
          <t>H86</t>
        </is>
      </c>
      <c r="B15" s="16" t="inlineStr">
        <is>
          <t>element14 Australia</t>
        </is>
      </c>
      <c r="C15" s="16" t="inlineStr">
        <is>
          <t>CD74HCT86E</t>
        </is>
      </c>
      <c r="D15" s="17" t="n">
        <v>1</v>
      </c>
      <c r="E15" s="18" t="n"/>
      <c r="F15" s="17" t="n"/>
      <c r="G15" s="18" t="n"/>
      <c r="H15" s="17" t="n"/>
      <c r="I15" s="18" t="n"/>
      <c r="J15" s="17" t="inlineStr">
        <is>
          <t>N</t>
        </is>
      </c>
      <c r="K15" s="16" t="inlineStr"/>
      <c r="L15" s="17" t="inlineStr">
        <is>
          <t>Y</t>
        </is>
      </c>
      <c r="M15" s="16" t="inlineStr">
        <is>
          <t>2026-10-25</t>
        </is>
      </c>
      <c r="N15" s="19" t="inlineStr">
        <is>
          <t>https://au.element14.com/w/search?st=CD74HCT86E</t>
        </is>
      </c>
      <c r="O15" s="16" t="inlineStr">
        <is>
          <t>No exact match on au.element14.com search (similar parts only); no DIP HCT version listed. SN74HCT86N also no match. Wiltronics 74HCT list has no 86. Only one supplier with price found; DigiKey/Altronics/Jaycar/RS pages blocked or gave no price.</t>
        </is>
      </c>
      <c r="P15" s="8">
        <f>IFERROR(VLOOKUP($A15,BOM!$A$2:$E$51,5,0),0)</f>
        <v/>
      </c>
      <c r="Q15" s="8">
        <f>CEILING($P15*Assumptions!$B$4/$D15,1)</f>
        <v/>
      </c>
      <c r="R15" s="8">
        <f>CEILING($P15*Assumptions!$B$5/$D15,1)</f>
        <v/>
      </c>
      <c r="S15" s="8">
        <f>CEILING($P15*Assumptions!$B$6/$D15,1)</f>
        <v/>
      </c>
      <c r="T15" s="7">
        <f>IF(ISNUMBER($E15),$E15*(1+IF($J15="Y",0,Assumptions!$B$3)),"")</f>
        <v/>
      </c>
      <c r="U15" s="7">
        <f>IF(ISNUMBER($E15),IF(AND(ISNUMBER($G15),ISNUMBER($F15)),IF($F15&lt;=$R15,$G15,$E15),$E15)*(1+IF($J15="Y",0,Assumptions!$B$3)),"")</f>
        <v/>
      </c>
      <c r="V15" s="7">
        <f>IF(ISNUMBER($E15),IF(AND(ISNUMBER($I15),ISNUMBER($H15)),IF($H15&lt;=$S15,$I15,IF(AND(ISNUMBER($G15),ISNUMBER($F15)),IF($F15&lt;=$S15,$G15,$E15),$E15)),IF(AND(ISNUMBER($G15),ISNUMBER($F15)),IF($F15&lt;=$S15,$G15,$E15),$E15))*(1+IF($J15="Y",0,Assumptions!$B$3)),"")</f>
        <v/>
      </c>
      <c r="W15" s="7">
        <f>IF(ISNUMBER($T15),$Q15*$T15/Assumptions!$B$4,"")</f>
        <v/>
      </c>
      <c r="X15" s="7">
        <f>IF(ISNUMBER($U15),$R15*$U15/Assumptions!$B$5,"")</f>
        <v/>
      </c>
      <c r="Y15" s="7">
        <f>IF(ISNUMBER($V15),$S15*$V15/Assumptions!$B$6,"")</f>
        <v/>
      </c>
      <c r="Z15" s="8">
        <f>$A15&amp;"|"&amp;IF(ISNUMBER($W15),TEXT($W15,"0.0000"),"x")&amp;"|"&amp;$L15</f>
        <v/>
      </c>
      <c r="AA15" s="8">
        <f>$A15&amp;"|"&amp;IF(ISNUMBER($Y15),TEXT($Y15,"0.0000"),"x")&amp;"|"&amp;$L15</f>
        <v/>
      </c>
    </row>
    <row r="16">
      <c r="A16" s="8" t="inlineStr">
        <is>
          <t>H107</t>
        </is>
      </c>
      <c r="B16" s="8" t="inlineStr">
        <is>
          <t>Mouser Australia</t>
        </is>
      </c>
      <c r="C16" s="8" t="inlineStr">
        <is>
          <t>CD74HCT107E (595-CD74HCT107E)</t>
        </is>
      </c>
      <c r="D16" s="12" t="n">
        <v>1</v>
      </c>
      <c r="E16" s="14" t="n">
        <v>4.22</v>
      </c>
      <c r="F16" s="12" t="n">
        <v>10</v>
      </c>
      <c r="G16" s="14" t="n">
        <v>3.16</v>
      </c>
      <c r="H16" s="12" t="n">
        <v>100</v>
      </c>
      <c r="I16" s="14" t="n">
        <v>2.58</v>
      </c>
      <c r="J16" s="12" t="inlineStr">
        <is>
          <t>N</t>
        </is>
      </c>
      <c r="K16" s="8" t="inlineStr">
        <is>
          <t>849</t>
        </is>
      </c>
      <c r="L16" s="12" t="inlineStr">
        <is>
          <t>Y</t>
        </is>
      </c>
      <c r="M16" s="8" t="inlineStr">
        <is>
          <t>2026-10-25</t>
        </is>
      </c>
      <c r="N16" s="15" t="inlineStr">
        <is>
          <t>https://au.mouser.com/ProductDetail/595-CD74HCT107E</t>
        </is>
      </c>
      <c r="O16" s="8" t="inlineStr">
        <is>
          <t xml:space="preserve">Mouser marks END OF LIFE (scheduled for discontinuation), 20 wk factory lead. Mouser page states no GST treatment; treated as ex GST. </t>
        </is>
      </c>
      <c r="P16" s="8">
        <f>IFERROR(VLOOKUP($A16,BOM!$A$2:$E$51,5,0),0)</f>
        <v/>
      </c>
      <c r="Q16" s="8">
        <f>CEILING($P16*Assumptions!$B$4/$D16,1)</f>
        <v/>
      </c>
      <c r="R16" s="8">
        <f>CEILING($P16*Assumptions!$B$5/$D16,1)</f>
        <v/>
      </c>
      <c r="S16" s="8">
        <f>CEILING($P16*Assumptions!$B$6/$D16,1)</f>
        <v/>
      </c>
      <c r="T16" s="7">
        <f>IF(ISNUMBER($E16),$E16*(1+IF($J16="Y",0,Assumptions!$B$3)),"")</f>
        <v/>
      </c>
      <c r="U16" s="7">
        <f>IF(ISNUMBER($E16),IF(AND(ISNUMBER($G16),ISNUMBER($F16)),IF($F16&lt;=$R16,$G16,$E16),$E16)*(1+IF($J16="Y",0,Assumptions!$B$3)),"")</f>
        <v/>
      </c>
      <c r="V16" s="7">
        <f>IF(ISNUMBER($E16),IF(AND(ISNUMBER($I16),ISNUMBER($H16)),IF($H16&lt;=$S16,$I16,IF(AND(ISNUMBER($G16),ISNUMBER($F16)),IF($F16&lt;=$S16,$G16,$E16),$E16)),IF(AND(ISNUMBER($G16),ISNUMBER($F16)),IF($F16&lt;=$S16,$G16,$E16),$E16))*(1+IF($J16="Y",0,Assumptions!$B$3)),"")</f>
        <v/>
      </c>
      <c r="W16" s="7">
        <f>IF(ISNUMBER($T16),$Q16*$T16/Assumptions!$B$4,"")</f>
        <v/>
      </c>
      <c r="X16" s="7">
        <f>IF(ISNUMBER($U16),$R16*$U16/Assumptions!$B$5,"")</f>
        <v/>
      </c>
      <c r="Y16" s="7">
        <f>IF(ISNUMBER($V16),$S16*$V16/Assumptions!$B$6,"")</f>
        <v/>
      </c>
      <c r="Z16" s="8">
        <f>$A16&amp;"|"&amp;IF(ISNUMBER($W16),TEXT($W16,"0.0000"),"x")&amp;"|"&amp;$L16</f>
        <v/>
      </c>
      <c r="AA16" s="8">
        <f>$A16&amp;"|"&amp;IF(ISNUMBER($Y16),TEXT($Y16,"0.0000"),"x")&amp;"|"&amp;$L16</f>
        <v/>
      </c>
    </row>
    <row r="17">
      <c r="A17" s="16" t="inlineStr">
        <is>
          <t>H107</t>
        </is>
      </c>
      <c r="B17" s="16" t="inlineStr">
        <is>
          <t>element14 Australia</t>
        </is>
      </c>
      <c r="C17" s="16" t="inlineStr">
        <is>
          <t>CD74HCT107E</t>
        </is>
      </c>
      <c r="D17" s="17" t="n">
        <v>1</v>
      </c>
      <c r="E17" s="18" t="n"/>
      <c r="F17" s="17" t="n"/>
      <c r="G17" s="18" t="n"/>
      <c r="H17" s="17" t="n"/>
      <c r="I17" s="18" t="n"/>
      <c r="J17" s="17" t="inlineStr">
        <is>
          <t>N</t>
        </is>
      </c>
      <c r="K17" s="16" t="inlineStr"/>
      <c r="L17" s="17" t="inlineStr">
        <is>
          <t>Y</t>
        </is>
      </c>
      <c r="M17" s="16" t="inlineStr">
        <is>
          <t>2026-10-25</t>
        </is>
      </c>
      <c r="N17" s="19" t="inlineStr">
        <is>
          <t>https://au.element14.com/w/search?st=CD74HCT107E</t>
        </is>
      </c>
      <c r="O17" s="16" t="inlineStr">
        <is>
          <t>No exact match on au.element14.com search (similar parts only); no DIP HCT version listed. Only one supplier found; part is EOL.</t>
        </is>
      </c>
      <c r="P17" s="8">
        <f>IFERROR(VLOOKUP($A17,BOM!$A$2:$E$51,5,0),0)</f>
        <v/>
      </c>
      <c r="Q17" s="8">
        <f>CEILING($P17*Assumptions!$B$4/$D17,1)</f>
        <v/>
      </c>
      <c r="R17" s="8">
        <f>CEILING($P17*Assumptions!$B$5/$D17,1)</f>
        <v/>
      </c>
      <c r="S17" s="8">
        <f>CEILING($P17*Assumptions!$B$6/$D17,1)</f>
        <v/>
      </c>
      <c r="T17" s="7">
        <f>IF(ISNUMBER($E17),$E17*(1+IF($J17="Y",0,Assumptions!$B$3)),"")</f>
        <v/>
      </c>
      <c r="U17" s="7">
        <f>IF(ISNUMBER($E17),IF(AND(ISNUMBER($G17),ISNUMBER($F17)),IF($F17&lt;=$R17,$G17,$E17),$E17)*(1+IF($J17="Y",0,Assumptions!$B$3)),"")</f>
        <v/>
      </c>
      <c r="V17" s="7">
        <f>IF(ISNUMBER($E17),IF(AND(ISNUMBER($I17),ISNUMBER($H17)),IF($H17&lt;=$S17,$I17,IF(AND(ISNUMBER($G17),ISNUMBER($F17)),IF($F17&lt;=$S17,$G17,$E17),$E17)),IF(AND(ISNUMBER($G17),ISNUMBER($F17)),IF($F17&lt;=$S17,$G17,$E17),$E17))*(1+IF($J17="Y",0,Assumptions!$B$3)),"")</f>
        <v/>
      </c>
      <c r="W17" s="7">
        <f>IF(ISNUMBER($T17),$Q17*$T17/Assumptions!$B$4,"")</f>
        <v/>
      </c>
      <c r="X17" s="7">
        <f>IF(ISNUMBER($U17),$R17*$U17/Assumptions!$B$5,"")</f>
        <v/>
      </c>
      <c r="Y17" s="7">
        <f>IF(ISNUMBER($V17),$S17*$V17/Assumptions!$B$6,"")</f>
        <v/>
      </c>
      <c r="Z17" s="8">
        <f>$A17&amp;"|"&amp;IF(ISNUMBER($W17),TEXT($W17,"0.0000"),"x")&amp;"|"&amp;$L17</f>
        <v/>
      </c>
      <c r="AA17" s="8">
        <f>$A17&amp;"|"&amp;IF(ISNUMBER($Y17),TEXT($Y17,"0.0000"),"x")&amp;"|"&amp;$L17</f>
        <v/>
      </c>
    </row>
    <row r="18">
      <c r="A18" s="8" t="inlineStr">
        <is>
          <t>H138</t>
        </is>
      </c>
      <c r="B18" s="8" t="inlineStr">
        <is>
          <t>Mouser Australia</t>
        </is>
      </c>
      <c r="C18" s="8" t="inlineStr">
        <is>
          <t>CD74HCT138E (595-CD74HCT138E)</t>
        </is>
      </c>
      <c r="D18" s="12" t="n">
        <v>1</v>
      </c>
      <c r="E18" s="14" t="n">
        <v>1.62</v>
      </c>
      <c r="F18" s="12" t="n">
        <v>10</v>
      </c>
      <c r="G18" s="14" t="n">
        <v>1.17</v>
      </c>
      <c r="H18" s="12" t="n">
        <v>100</v>
      </c>
      <c r="I18" s="14" t="n">
        <v>0.9340000000000001</v>
      </c>
      <c r="J18" s="12" t="inlineStr">
        <is>
          <t>N</t>
        </is>
      </c>
      <c r="K18" s="8" t="inlineStr">
        <is>
          <t>1117</t>
        </is>
      </c>
      <c r="L18" s="12" t="inlineStr">
        <is>
          <t>Y</t>
        </is>
      </c>
      <c r="M18" s="8" t="inlineStr">
        <is>
          <t>2026-10-25</t>
        </is>
      </c>
      <c r="N18" s="15" t="inlineStr">
        <is>
          <t>https://au.mouser.com/c/?q=CD74HCT138E</t>
        </is>
      </c>
      <c r="O18" s="8" t="inlineStr">
        <is>
          <t>Mouser page states no GST treatment; treated as ex GST. TI PDIP-16.</t>
        </is>
      </c>
      <c r="P18" s="8">
        <f>IFERROR(VLOOKUP($A18,BOM!$A$2:$E$51,5,0),0)</f>
        <v/>
      </c>
      <c r="Q18" s="8">
        <f>CEILING($P18*Assumptions!$B$4/$D18,1)</f>
        <v/>
      </c>
      <c r="R18" s="8">
        <f>CEILING($P18*Assumptions!$B$5/$D18,1)</f>
        <v/>
      </c>
      <c r="S18" s="8">
        <f>CEILING($P18*Assumptions!$B$6/$D18,1)</f>
        <v/>
      </c>
      <c r="T18" s="7">
        <f>IF(ISNUMBER($E18),$E18*(1+IF($J18="Y",0,Assumptions!$B$3)),"")</f>
        <v/>
      </c>
      <c r="U18" s="7">
        <f>IF(ISNUMBER($E18),IF(AND(ISNUMBER($G18),ISNUMBER($F18)),IF($F18&lt;=$R18,$G18,$E18),$E18)*(1+IF($J18="Y",0,Assumptions!$B$3)),"")</f>
        <v/>
      </c>
      <c r="V18" s="7">
        <f>IF(ISNUMBER($E18),IF(AND(ISNUMBER($I18),ISNUMBER($H18)),IF($H18&lt;=$S18,$I18,IF(AND(ISNUMBER($G18),ISNUMBER($F18)),IF($F18&lt;=$S18,$G18,$E18),$E18)),IF(AND(ISNUMBER($G18),ISNUMBER($F18)),IF($F18&lt;=$S18,$G18,$E18),$E18))*(1+IF($J18="Y",0,Assumptions!$B$3)),"")</f>
        <v/>
      </c>
      <c r="W18" s="7">
        <f>IF(ISNUMBER($T18),$Q18*$T18/Assumptions!$B$4,"")</f>
        <v/>
      </c>
      <c r="X18" s="7">
        <f>IF(ISNUMBER($U18),$R18*$U18/Assumptions!$B$5,"")</f>
        <v/>
      </c>
      <c r="Y18" s="7">
        <f>IF(ISNUMBER($V18),$S18*$V18/Assumptions!$B$6,"")</f>
        <v/>
      </c>
      <c r="Z18" s="8">
        <f>$A18&amp;"|"&amp;IF(ISNUMBER($W18),TEXT($W18,"0.0000"),"x")&amp;"|"&amp;$L18</f>
        <v/>
      </c>
      <c r="AA18" s="8">
        <f>$A18&amp;"|"&amp;IF(ISNUMBER($Y18),TEXT($Y18,"0.0000"),"x")&amp;"|"&amp;$L18</f>
        <v/>
      </c>
    </row>
    <row r="19">
      <c r="A19" s="8" t="inlineStr">
        <is>
          <t>H138</t>
        </is>
      </c>
      <c r="B19" s="8" t="inlineStr">
        <is>
          <t>Wiltronics (AU)</t>
        </is>
      </c>
      <c r="C19" s="8" t="inlineStr">
        <is>
          <t>74HCT138</t>
        </is>
      </c>
      <c r="D19" s="12" t="n">
        <v>1</v>
      </c>
      <c r="E19" s="14" t="n">
        <v>1.1</v>
      </c>
      <c r="F19" s="12" t="n">
        <v>10</v>
      </c>
      <c r="G19" s="14" t="n">
        <v>0.99</v>
      </c>
      <c r="H19" s="12" t="n">
        <v>25</v>
      </c>
      <c r="I19" s="14" t="n">
        <v>0.79</v>
      </c>
      <c r="J19" s="12" t="inlineStr">
        <is>
          <t>Y</t>
        </is>
      </c>
      <c r="K19" s="8" t="inlineStr">
        <is>
          <t>not shown</t>
        </is>
      </c>
      <c r="L19" s="12" t="inlineStr">
        <is>
          <t>Y</t>
        </is>
      </c>
      <c r="M19" s="8" t="inlineStr">
        <is>
          <t>2026-10-25</t>
        </is>
      </c>
      <c r="N19" s="15" t="inlineStr">
        <is>
          <t>https://www.wiltronics.com.au/product/321/74hct138-expandable-38-decoder-2/</t>
        </is>
      </c>
      <c r="O19" s="8" t="inlineStr">
        <is>
          <t>Wiltronics states prices include GST; no stock indicator on page. Not on preferred list but Australian retailer. DIP-16. Product page shows $1.10 but the category listing shows $2.45; confirm at cart. element14: no match.</t>
        </is>
      </c>
      <c r="P19" s="8">
        <f>IFERROR(VLOOKUP($A19,BOM!$A$2:$E$51,5,0),0)</f>
        <v/>
      </c>
      <c r="Q19" s="8">
        <f>CEILING($P19*Assumptions!$B$4/$D19,1)</f>
        <v/>
      </c>
      <c r="R19" s="8">
        <f>CEILING($P19*Assumptions!$B$5/$D19,1)</f>
        <v/>
      </c>
      <c r="S19" s="8">
        <f>CEILING($P19*Assumptions!$B$6/$D19,1)</f>
        <v/>
      </c>
      <c r="T19" s="7">
        <f>IF(ISNUMBER($E19),$E19*(1+IF($J19="Y",0,Assumptions!$B$3)),"")</f>
        <v/>
      </c>
      <c r="U19" s="7">
        <f>IF(ISNUMBER($E19),IF(AND(ISNUMBER($G19),ISNUMBER($F19)),IF($F19&lt;=$R19,$G19,$E19),$E19)*(1+IF($J19="Y",0,Assumptions!$B$3)),"")</f>
        <v/>
      </c>
      <c r="V19" s="7">
        <f>IF(ISNUMBER($E19),IF(AND(ISNUMBER($I19),ISNUMBER($H19)),IF($H19&lt;=$S19,$I19,IF(AND(ISNUMBER($G19),ISNUMBER($F19)),IF($F19&lt;=$S19,$G19,$E19),$E19)),IF(AND(ISNUMBER($G19),ISNUMBER($F19)),IF($F19&lt;=$S19,$G19,$E19),$E19))*(1+IF($J19="Y",0,Assumptions!$B$3)),"")</f>
        <v/>
      </c>
      <c r="W19" s="7">
        <f>IF(ISNUMBER($T19),$Q19*$T19/Assumptions!$B$4,"")</f>
        <v/>
      </c>
      <c r="X19" s="7">
        <f>IF(ISNUMBER($U19),$R19*$U19/Assumptions!$B$5,"")</f>
        <v/>
      </c>
      <c r="Y19" s="7">
        <f>IF(ISNUMBER($V19),$S19*$V19/Assumptions!$B$6,"")</f>
        <v/>
      </c>
      <c r="Z19" s="8">
        <f>$A19&amp;"|"&amp;IF(ISNUMBER($W19),TEXT($W19,"0.0000"),"x")&amp;"|"&amp;$L19</f>
        <v/>
      </c>
      <c r="AA19" s="8">
        <f>$A19&amp;"|"&amp;IF(ISNUMBER($Y19),TEXT($Y19,"0.0000"),"x")&amp;"|"&amp;$L19</f>
        <v/>
      </c>
    </row>
    <row r="20">
      <c r="A20" s="8" t="inlineStr">
        <is>
          <t>H139</t>
        </is>
      </c>
      <c r="B20" s="8" t="inlineStr">
        <is>
          <t>Mouser Australia</t>
        </is>
      </c>
      <c r="C20" s="8" t="inlineStr">
        <is>
          <t>CD74HCT139E (595-CD74HCT139E)</t>
        </is>
      </c>
      <c r="D20" s="12" t="n">
        <v>1</v>
      </c>
      <c r="E20" s="14" t="n">
        <v>1.54</v>
      </c>
      <c r="F20" s="12" t="n">
        <v>10</v>
      </c>
      <c r="G20" s="14" t="n">
        <v>1.1</v>
      </c>
      <c r="H20" s="12" t="n">
        <v>100</v>
      </c>
      <c r="I20" s="14" t="n">
        <v>0.879</v>
      </c>
      <c r="J20" s="12" t="inlineStr">
        <is>
          <t>N</t>
        </is>
      </c>
      <c r="K20" s="8" t="inlineStr">
        <is>
          <t>970</t>
        </is>
      </c>
      <c r="L20" s="12" t="inlineStr">
        <is>
          <t>Y</t>
        </is>
      </c>
      <c r="M20" s="8" t="inlineStr">
        <is>
          <t>2026-10-25</t>
        </is>
      </c>
      <c r="N20" s="15" t="inlineStr">
        <is>
          <t>https://au.mouser.com/c/?q=CD74HCT139E</t>
        </is>
      </c>
      <c r="O20" s="8" t="inlineStr">
        <is>
          <t>Mouser page states no GST treatment; treated as ex GST. TI PDIP-16. Alt same page: CD74HCT139EE4 750 stock, 1.61/1.18/0.914.</t>
        </is>
      </c>
      <c r="P20" s="8">
        <f>IFERROR(VLOOKUP($A20,BOM!$A$2:$E$51,5,0),0)</f>
        <v/>
      </c>
      <c r="Q20" s="8">
        <f>CEILING($P20*Assumptions!$B$4/$D20,1)</f>
        <v/>
      </c>
      <c r="R20" s="8">
        <f>CEILING($P20*Assumptions!$B$5/$D20,1)</f>
        <v/>
      </c>
      <c r="S20" s="8">
        <f>CEILING($P20*Assumptions!$B$6/$D20,1)</f>
        <v/>
      </c>
      <c r="T20" s="7">
        <f>IF(ISNUMBER($E20),$E20*(1+IF($J20="Y",0,Assumptions!$B$3)),"")</f>
        <v/>
      </c>
      <c r="U20" s="7">
        <f>IF(ISNUMBER($E20),IF(AND(ISNUMBER($G20),ISNUMBER($F20)),IF($F20&lt;=$R20,$G20,$E20),$E20)*(1+IF($J20="Y",0,Assumptions!$B$3)),"")</f>
        <v/>
      </c>
      <c r="V20" s="7">
        <f>IF(ISNUMBER($E20),IF(AND(ISNUMBER($I20),ISNUMBER($H20)),IF($H20&lt;=$S20,$I20,IF(AND(ISNUMBER($G20),ISNUMBER($F20)),IF($F20&lt;=$S20,$G20,$E20),$E20)),IF(AND(ISNUMBER($G20),ISNUMBER($F20)),IF($F20&lt;=$S20,$G20,$E20),$E20))*(1+IF($J20="Y",0,Assumptions!$B$3)),"")</f>
        <v/>
      </c>
      <c r="W20" s="7">
        <f>IF(ISNUMBER($T20),$Q20*$T20/Assumptions!$B$4,"")</f>
        <v/>
      </c>
      <c r="X20" s="7">
        <f>IF(ISNUMBER($U20),$R20*$U20/Assumptions!$B$5,"")</f>
        <v/>
      </c>
      <c r="Y20" s="7">
        <f>IF(ISNUMBER($V20),$S20*$V20/Assumptions!$B$6,"")</f>
        <v/>
      </c>
      <c r="Z20" s="8">
        <f>$A20&amp;"|"&amp;IF(ISNUMBER($W20),TEXT($W20,"0.0000"),"x")&amp;"|"&amp;$L20</f>
        <v/>
      </c>
      <c r="AA20" s="8">
        <f>$A20&amp;"|"&amp;IF(ISNUMBER($Y20),TEXT($Y20,"0.0000"),"x")&amp;"|"&amp;$L20</f>
        <v/>
      </c>
    </row>
    <row r="21">
      <c r="A21" s="16" t="inlineStr">
        <is>
          <t>H139</t>
        </is>
      </c>
      <c r="B21" s="16" t="inlineStr">
        <is>
          <t>element14 Australia</t>
        </is>
      </c>
      <c r="C21" s="16" t="inlineStr">
        <is>
          <t>CD74HCT139E</t>
        </is>
      </c>
      <c r="D21" s="17" t="n">
        <v>1</v>
      </c>
      <c r="E21" s="18" t="n"/>
      <c r="F21" s="17" t="n"/>
      <c r="G21" s="18" t="n"/>
      <c r="H21" s="17" t="n"/>
      <c r="I21" s="18" t="n"/>
      <c r="J21" s="17" t="inlineStr">
        <is>
          <t>N</t>
        </is>
      </c>
      <c r="K21" s="16" t="inlineStr"/>
      <c r="L21" s="17" t="inlineStr">
        <is>
          <t>Y</t>
        </is>
      </c>
      <c r="M21" s="16" t="inlineStr">
        <is>
          <t>2026-10-25</t>
        </is>
      </c>
      <c r="N21" s="19" t="inlineStr">
        <is>
          <t>https://au.element14.com/w/search?st=CD74HCT139E</t>
        </is>
      </c>
      <c r="O21" s="16" t="inlineStr">
        <is>
          <t>No exact match on au.element14.com search (similar parts only); no DIP HCT version listed. Wiltronics has 74HC139 only (HC, not HCT). Only one HCT supplier found.</t>
        </is>
      </c>
      <c r="P21" s="8">
        <f>IFERROR(VLOOKUP($A21,BOM!$A$2:$E$51,5,0),0)</f>
        <v/>
      </c>
      <c r="Q21" s="8">
        <f>CEILING($P21*Assumptions!$B$4/$D21,1)</f>
        <v/>
      </c>
      <c r="R21" s="8">
        <f>CEILING($P21*Assumptions!$B$5/$D21,1)</f>
        <v/>
      </c>
      <c r="S21" s="8">
        <f>CEILING($P21*Assumptions!$B$6/$D21,1)</f>
        <v/>
      </c>
      <c r="T21" s="7">
        <f>IF(ISNUMBER($E21),$E21*(1+IF($J21="Y",0,Assumptions!$B$3)),"")</f>
        <v/>
      </c>
      <c r="U21" s="7">
        <f>IF(ISNUMBER($E21),IF(AND(ISNUMBER($G21),ISNUMBER($F21)),IF($F21&lt;=$R21,$G21,$E21),$E21)*(1+IF($J21="Y",0,Assumptions!$B$3)),"")</f>
        <v/>
      </c>
      <c r="V21" s="7">
        <f>IF(ISNUMBER($E21),IF(AND(ISNUMBER($I21),ISNUMBER($H21)),IF($H21&lt;=$S21,$I21,IF(AND(ISNUMBER($G21),ISNUMBER($F21)),IF($F21&lt;=$S21,$G21,$E21),$E21)),IF(AND(ISNUMBER($G21),ISNUMBER($F21)),IF($F21&lt;=$S21,$G21,$E21),$E21))*(1+IF($J21="Y",0,Assumptions!$B$3)),"")</f>
        <v/>
      </c>
      <c r="W21" s="7">
        <f>IF(ISNUMBER($T21),$Q21*$T21/Assumptions!$B$4,"")</f>
        <v/>
      </c>
      <c r="X21" s="7">
        <f>IF(ISNUMBER($U21),$R21*$U21/Assumptions!$B$5,"")</f>
        <v/>
      </c>
      <c r="Y21" s="7">
        <f>IF(ISNUMBER($V21),$S21*$V21/Assumptions!$B$6,"")</f>
        <v/>
      </c>
      <c r="Z21" s="8">
        <f>$A21&amp;"|"&amp;IF(ISNUMBER($W21),TEXT($W21,"0.0000"),"x")&amp;"|"&amp;$L21</f>
        <v/>
      </c>
      <c r="AA21" s="8">
        <f>$A21&amp;"|"&amp;IF(ISNUMBER($Y21),TEXT($Y21,"0.0000"),"x")&amp;"|"&amp;$L21</f>
        <v/>
      </c>
    </row>
    <row r="22">
      <c r="A22" s="8" t="inlineStr">
        <is>
          <t>H157</t>
        </is>
      </c>
      <c r="B22" s="8" t="inlineStr">
        <is>
          <t>Mouser Australia</t>
        </is>
      </c>
      <c r="C22" s="8" t="inlineStr">
        <is>
          <t>CD74HCT157E (595-CD74HCT157E)</t>
        </is>
      </c>
      <c r="D22" s="12" t="n">
        <v>1</v>
      </c>
      <c r="E22" s="14" t="n">
        <v>1.57</v>
      </c>
      <c r="F22" s="12" t="n">
        <v>10</v>
      </c>
      <c r="G22" s="14" t="n">
        <v>1.13</v>
      </c>
      <c r="H22" s="12" t="n">
        <v>100</v>
      </c>
      <c r="I22" s="14" t="n">
        <v>0.899</v>
      </c>
      <c r="J22" s="12" t="inlineStr">
        <is>
          <t>N</t>
        </is>
      </c>
      <c r="K22" s="8" t="inlineStr">
        <is>
          <t>233 (+1000 due 19/11/2026)</t>
        </is>
      </c>
      <c r="L22" s="12" t="inlineStr">
        <is>
          <t>Y</t>
        </is>
      </c>
      <c r="M22" s="8" t="inlineStr">
        <is>
          <t>2026-10-25</t>
        </is>
      </c>
      <c r="N22" s="15" t="inlineStr">
        <is>
          <t>https://au.mouser.com/c/?q=CD74HCT157E</t>
        </is>
      </c>
      <c r="O22" s="8" t="inlineStr">
        <is>
          <t>Mouser page states no GST treatment; treated as ex GST. TI PDIP-16.</t>
        </is>
      </c>
      <c r="P22" s="8">
        <f>IFERROR(VLOOKUP($A22,BOM!$A$2:$E$51,5,0),0)</f>
        <v/>
      </c>
      <c r="Q22" s="8">
        <f>CEILING($P22*Assumptions!$B$4/$D22,1)</f>
        <v/>
      </c>
      <c r="R22" s="8">
        <f>CEILING($P22*Assumptions!$B$5/$D22,1)</f>
        <v/>
      </c>
      <c r="S22" s="8">
        <f>CEILING($P22*Assumptions!$B$6/$D22,1)</f>
        <v/>
      </c>
      <c r="T22" s="7">
        <f>IF(ISNUMBER($E22),$E22*(1+IF($J22="Y",0,Assumptions!$B$3)),"")</f>
        <v/>
      </c>
      <c r="U22" s="7">
        <f>IF(ISNUMBER($E22),IF(AND(ISNUMBER($G22),ISNUMBER($F22)),IF($F22&lt;=$R22,$G22,$E22),$E22)*(1+IF($J22="Y",0,Assumptions!$B$3)),"")</f>
        <v/>
      </c>
      <c r="V22" s="7">
        <f>IF(ISNUMBER($E22),IF(AND(ISNUMBER($I22),ISNUMBER($H22)),IF($H22&lt;=$S22,$I22,IF(AND(ISNUMBER($G22),ISNUMBER($F22)),IF($F22&lt;=$S22,$G22,$E22),$E22)),IF(AND(ISNUMBER($G22),ISNUMBER($F22)),IF($F22&lt;=$S22,$G22,$E22),$E22))*(1+IF($J22="Y",0,Assumptions!$B$3)),"")</f>
        <v/>
      </c>
      <c r="W22" s="7">
        <f>IF(ISNUMBER($T22),$Q22*$T22/Assumptions!$B$4,"")</f>
        <v/>
      </c>
      <c r="X22" s="7">
        <f>IF(ISNUMBER($U22),$R22*$U22/Assumptions!$B$5,"")</f>
        <v/>
      </c>
      <c r="Y22" s="7">
        <f>IF(ISNUMBER($V22),$S22*$V22/Assumptions!$B$6,"")</f>
        <v/>
      </c>
      <c r="Z22" s="8">
        <f>$A22&amp;"|"&amp;IF(ISNUMBER($W22),TEXT($W22,"0.0000"),"x")&amp;"|"&amp;$L22</f>
        <v/>
      </c>
      <c r="AA22" s="8">
        <f>$A22&amp;"|"&amp;IF(ISNUMBER($Y22),TEXT($Y22,"0.0000"),"x")&amp;"|"&amp;$L22</f>
        <v/>
      </c>
    </row>
    <row r="23">
      <c r="A23" s="8" t="inlineStr">
        <is>
          <t>H157</t>
        </is>
      </c>
      <c r="B23" s="8" t="inlineStr">
        <is>
          <t>element14 Australia</t>
        </is>
      </c>
      <c r="C23" s="8" t="inlineStr">
        <is>
          <t>SN74HCT157N (order code 3121103)</t>
        </is>
      </c>
      <c r="D23" s="12" t="n">
        <v>1</v>
      </c>
      <c r="E23" s="14" t="n">
        <v>1.69</v>
      </c>
      <c r="F23" s="12" t="n">
        <v>10</v>
      </c>
      <c r="G23" s="14" t="n">
        <v>1.11</v>
      </c>
      <c r="H23" s="12" t="n">
        <v>100</v>
      </c>
      <c r="I23" s="14" t="n">
        <v>0.913</v>
      </c>
      <c r="J23" s="12" t="inlineStr">
        <is>
          <t>N</t>
        </is>
      </c>
      <c r="K23" s="8" t="inlineStr">
        <is>
          <t>297</t>
        </is>
      </c>
      <c r="L23" s="12" t="inlineStr">
        <is>
          <t>Y</t>
        </is>
      </c>
      <c r="M23" s="8" t="inlineStr">
        <is>
          <t>2026-10-25</t>
        </is>
      </c>
      <c r="N23" s="15" t="inlineStr">
        <is>
          <t>https://au.element14.com/w/search?st=SN74HCT157N</t>
        </is>
      </c>
      <c r="O23" s="8" t="inlineStr">
        <is>
          <t>element14 shows ex GST with incl-GST in brackets; ex-GST figures recorded. TI DIP-16; incl GST 1.859/1.221/1.0043.</t>
        </is>
      </c>
      <c r="P23" s="8">
        <f>IFERROR(VLOOKUP($A23,BOM!$A$2:$E$51,5,0),0)</f>
        <v/>
      </c>
      <c r="Q23" s="8">
        <f>CEILING($P23*Assumptions!$B$4/$D23,1)</f>
        <v/>
      </c>
      <c r="R23" s="8">
        <f>CEILING($P23*Assumptions!$B$5/$D23,1)</f>
        <v/>
      </c>
      <c r="S23" s="8">
        <f>CEILING($P23*Assumptions!$B$6/$D23,1)</f>
        <v/>
      </c>
      <c r="T23" s="7">
        <f>IF(ISNUMBER($E23),$E23*(1+IF($J23="Y",0,Assumptions!$B$3)),"")</f>
        <v/>
      </c>
      <c r="U23" s="7">
        <f>IF(ISNUMBER($E23),IF(AND(ISNUMBER($G23),ISNUMBER($F23)),IF($F23&lt;=$R23,$G23,$E23),$E23)*(1+IF($J23="Y",0,Assumptions!$B$3)),"")</f>
        <v/>
      </c>
      <c r="V23" s="7">
        <f>IF(ISNUMBER($E23),IF(AND(ISNUMBER($I23),ISNUMBER($H23)),IF($H23&lt;=$S23,$I23,IF(AND(ISNUMBER($G23),ISNUMBER($F23)),IF($F23&lt;=$S23,$G23,$E23),$E23)),IF(AND(ISNUMBER($G23),ISNUMBER($F23)),IF($F23&lt;=$S23,$G23,$E23),$E23))*(1+IF($J23="Y",0,Assumptions!$B$3)),"")</f>
        <v/>
      </c>
      <c r="W23" s="7">
        <f>IF(ISNUMBER($T23),$Q23*$T23/Assumptions!$B$4,"")</f>
        <v/>
      </c>
      <c r="X23" s="7">
        <f>IF(ISNUMBER($U23),$R23*$U23/Assumptions!$B$5,"")</f>
        <v/>
      </c>
      <c r="Y23" s="7">
        <f>IF(ISNUMBER($V23),$S23*$V23/Assumptions!$B$6,"")</f>
        <v/>
      </c>
      <c r="Z23" s="8">
        <f>$A23&amp;"|"&amp;IF(ISNUMBER($W23),TEXT($W23,"0.0000"),"x")&amp;"|"&amp;$L23</f>
        <v/>
      </c>
      <c r="AA23" s="8">
        <f>$A23&amp;"|"&amp;IF(ISNUMBER($Y23),TEXT($Y23,"0.0000"),"x")&amp;"|"&amp;$L23</f>
        <v/>
      </c>
    </row>
    <row r="24">
      <c r="A24" s="8" t="inlineStr">
        <is>
          <t>H161</t>
        </is>
      </c>
      <c r="B24" s="8" t="inlineStr">
        <is>
          <t>Mouser Australia</t>
        </is>
      </c>
      <c r="C24" s="8" t="inlineStr">
        <is>
          <t>CD74HCT161E (595-CD74HCT161E)</t>
        </is>
      </c>
      <c r="D24" s="12" t="n">
        <v>1</v>
      </c>
      <c r="E24" s="14" t="n">
        <v>1.94</v>
      </c>
      <c r="F24" s="12" t="n">
        <v>10</v>
      </c>
      <c r="G24" s="14" t="n">
        <v>1.41</v>
      </c>
      <c r="H24" s="12" t="n">
        <v>100</v>
      </c>
      <c r="I24" s="14" t="n">
        <v>1.13</v>
      </c>
      <c r="J24" s="12" t="inlineStr">
        <is>
          <t>N</t>
        </is>
      </c>
      <c r="K24" s="8" t="inlineStr">
        <is>
          <t>486</t>
        </is>
      </c>
      <c r="L24" s="12" t="inlineStr">
        <is>
          <t>Y</t>
        </is>
      </c>
      <c r="M24" s="8" t="inlineStr">
        <is>
          <t>2026-10-25</t>
        </is>
      </c>
      <c r="N24" s="15" t="inlineStr">
        <is>
          <t>https://au.mouser.com/c/?q=CD74HCT161E</t>
        </is>
      </c>
      <c r="O24" s="8" t="inlineStr">
        <is>
          <t>Mouser page states no GST treatment; treated as ex GST. TI PDIP-16. Alt same page: CD74HCT161EE4 41 stock (+1000 due 23/04/2027).</t>
        </is>
      </c>
      <c r="P24" s="8">
        <f>IFERROR(VLOOKUP($A24,BOM!$A$2:$E$51,5,0),0)</f>
        <v/>
      </c>
      <c r="Q24" s="8">
        <f>CEILING($P24*Assumptions!$B$4/$D24,1)</f>
        <v/>
      </c>
      <c r="R24" s="8">
        <f>CEILING($P24*Assumptions!$B$5/$D24,1)</f>
        <v/>
      </c>
      <c r="S24" s="8">
        <f>CEILING($P24*Assumptions!$B$6/$D24,1)</f>
        <v/>
      </c>
      <c r="T24" s="7">
        <f>IF(ISNUMBER($E24),$E24*(1+IF($J24="Y",0,Assumptions!$B$3)),"")</f>
        <v/>
      </c>
      <c r="U24" s="7">
        <f>IF(ISNUMBER($E24),IF(AND(ISNUMBER($G24),ISNUMBER($F24)),IF($F24&lt;=$R24,$G24,$E24),$E24)*(1+IF($J24="Y",0,Assumptions!$B$3)),"")</f>
        <v/>
      </c>
      <c r="V24" s="7">
        <f>IF(ISNUMBER($E24),IF(AND(ISNUMBER($I24),ISNUMBER($H24)),IF($H24&lt;=$S24,$I24,IF(AND(ISNUMBER($G24),ISNUMBER($F24)),IF($F24&lt;=$S24,$G24,$E24),$E24)),IF(AND(ISNUMBER($G24),ISNUMBER($F24)),IF($F24&lt;=$S24,$G24,$E24),$E24))*(1+IF($J24="Y",0,Assumptions!$B$3)),"")</f>
        <v/>
      </c>
      <c r="W24" s="7">
        <f>IF(ISNUMBER($T24),$Q24*$T24/Assumptions!$B$4,"")</f>
        <v/>
      </c>
      <c r="X24" s="7">
        <f>IF(ISNUMBER($U24),$R24*$U24/Assumptions!$B$5,"")</f>
        <v/>
      </c>
      <c r="Y24" s="7">
        <f>IF(ISNUMBER($V24),$S24*$V24/Assumptions!$B$6,"")</f>
        <v/>
      </c>
      <c r="Z24" s="8">
        <f>$A24&amp;"|"&amp;IF(ISNUMBER($W24),TEXT($W24,"0.0000"),"x")&amp;"|"&amp;$L24</f>
        <v/>
      </c>
      <c r="AA24" s="8">
        <f>$A24&amp;"|"&amp;IF(ISNUMBER($Y24),TEXT($Y24,"0.0000"),"x")&amp;"|"&amp;$L24</f>
        <v/>
      </c>
    </row>
    <row r="25">
      <c r="A25" s="16" t="inlineStr">
        <is>
          <t>H161</t>
        </is>
      </c>
      <c r="B25" s="16" t="inlineStr">
        <is>
          <t>element14 Australia</t>
        </is>
      </c>
      <c r="C25" s="16" t="inlineStr">
        <is>
          <t>CD74HCT161E</t>
        </is>
      </c>
      <c r="D25" s="17" t="n">
        <v>1</v>
      </c>
      <c r="E25" s="18" t="n"/>
      <c r="F25" s="17" t="n"/>
      <c r="G25" s="18" t="n"/>
      <c r="H25" s="17" t="n"/>
      <c r="I25" s="18" t="n"/>
      <c r="J25" s="17" t="inlineStr">
        <is>
          <t>N</t>
        </is>
      </c>
      <c r="K25" s="16" t="inlineStr"/>
      <c r="L25" s="17" t="inlineStr">
        <is>
          <t>Y</t>
        </is>
      </c>
      <c r="M25" s="16" t="inlineStr">
        <is>
          <t>2026-10-25</t>
        </is>
      </c>
      <c r="N25" s="19" t="inlineStr">
        <is>
          <t>https://au.element14.com/w/search?st=CD74HCT161E</t>
        </is>
      </c>
      <c r="O25" s="16" t="inlineStr">
        <is>
          <t>No exact match on au.element14.com search (similar parts only); no DIP HCT version listed. Only one supplier found.</t>
        </is>
      </c>
      <c r="P25" s="8">
        <f>IFERROR(VLOOKUP($A25,BOM!$A$2:$E$51,5,0),0)</f>
        <v/>
      </c>
      <c r="Q25" s="8">
        <f>CEILING($P25*Assumptions!$B$4/$D25,1)</f>
        <v/>
      </c>
      <c r="R25" s="8">
        <f>CEILING($P25*Assumptions!$B$5/$D25,1)</f>
        <v/>
      </c>
      <c r="S25" s="8">
        <f>CEILING($P25*Assumptions!$B$6/$D25,1)</f>
        <v/>
      </c>
      <c r="T25" s="7">
        <f>IF(ISNUMBER($E25),$E25*(1+IF($J25="Y",0,Assumptions!$B$3)),"")</f>
        <v/>
      </c>
      <c r="U25" s="7">
        <f>IF(ISNUMBER($E25),IF(AND(ISNUMBER($G25),ISNUMBER($F25)),IF($F25&lt;=$R25,$G25,$E25),$E25)*(1+IF($J25="Y",0,Assumptions!$B$3)),"")</f>
        <v/>
      </c>
      <c r="V25" s="7">
        <f>IF(ISNUMBER($E25),IF(AND(ISNUMBER($I25),ISNUMBER($H25)),IF($H25&lt;=$S25,$I25,IF(AND(ISNUMBER($G25),ISNUMBER($F25)),IF($F25&lt;=$S25,$G25,$E25),$E25)),IF(AND(ISNUMBER($G25),ISNUMBER($F25)),IF($F25&lt;=$S25,$G25,$E25),$E25))*(1+IF($J25="Y",0,Assumptions!$B$3)),"")</f>
        <v/>
      </c>
      <c r="W25" s="7">
        <f>IF(ISNUMBER($T25),$Q25*$T25/Assumptions!$B$4,"")</f>
        <v/>
      </c>
      <c r="X25" s="7">
        <f>IF(ISNUMBER($U25),$R25*$U25/Assumptions!$B$5,"")</f>
        <v/>
      </c>
      <c r="Y25" s="7">
        <f>IF(ISNUMBER($V25),$S25*$V25/Assumptions!$B$6,"")</f>
        <v/>
      </c>
      <c r="Z25" s="8">
        <f>$A25&amp;"|"&amp;IF(ISNUMBER($W25),TEXT($W25,"0.0000"),"x")&amp;"|"&amp;$L25</f>
        <v/>
      </c>
      <c r="AA25" s="8">
        <f>$A25&amp;"|"&amp;IF(ISNUMBER($Y25),TEXT($Y25,"0.0000"),"x")&amp;"|"&amp;$L25</f>
        <v/>
      </c>
    </row>
    <row r="26">
      <c r="A26" s="8" t="inlineStr">
        <is>
          <t>H173</t>
        </is>
      </c>
      <c r="B26" s="8" t="inlineStr">
        <is>
          <t>Mouser Australia</t>
        </is>
      </c>
      <c r="C26" s="8" t="inlineStr">
        <is>
          <t>CD74HCT173E (595-CD74HCT173E)</t>
        </is>
      </c>
      <c r="D26" s="12" t="n">
        <v>1</v>
      </c>
      <c r="E26" s="14" t="n">
        <v>1.39</v>
      </c>
      <c r="F26" s="12" t="n">
        <v>10</v>
      </c>
      <c r="G26" s="14" t="n">
        <v>1.02</v>
      </c>
      <c r="H26" s="12" t="n">
        <v>100</v>
      </c>
      <c r="I26" s="14" t="n">
        <v>0.822</v>
      </c>
      <c r="J26" s="12" t="inlineStr">
        <is>
          <t>N</t>
        </is>
      </c>
      <c r="K26" s="8" t="inlineStr">
        <is>
          <t>1717</t>
        </is>
      </c>
      <c r="L26" s="12" t="inlineStr">
        <is>
          <t>Y</t>
        </is>
      </c>
      <c r="M26" s="8" t="inlineStr">
        <is>
          <t>2026-10-25</t>
        </is>
      </c>
      <c r="N26" s="15" t="inlineStr">
        <is>
          <t>https://au.mouser.com/c/?q=CD74HCT173E</t>
        </is>
      </c>
      <c r="O26" s="8" t="inlineStr">
        <is>
          <t>Mouser page states no GST treatment; treated as ex GST. TI PDIP-16.</t>
        </is>
      </c>
      <c r="P26" s="8">
        <f>IFERROR(VLOOKUP($A26,BOM!$A$2:$E$51,5,0),0)</f>
        <v/>
      </c>
      <c r="Q26" s="8">
        <f>CEILING($P26*Assumptions!$B$4/$D26,1)</f>
        <v/>
      </c>
      <c r="R26" s="8">
        <f>CEILING($P26*Assumptions!$B$5/$D26,1)</f>
        <v/>
      </c>
      <c r="S26" s="8">
        <f>CEILING($P26*Assumptions!$B$6/$D26,1)</f>
        <v/>
      </c>
      <c r="T26" s="7">
        <f>IF(ISNUMBER($E26),$E26*(1+IF($J26="Y",0,Assumptions!$B$3)),"")</f>
        <v/>
      </c>
      <c r="U26" s="7">
        <f>IF(ISNUMBER($E26),IF(AND(ISNUMBER($G26),ISNUMBER($F26)),IF($F26&lt;=$R26,$G26,$E26),$E26)*(1+IF($J26="Y",0,Assumptions!$B$3)),"")</f>
        <v/>
      </c>
      <c r="V26" s="7">
        <f>IF(ISNUMBER($E26),IF(AND(ISNUMBER($I26),ISNUMBER($H26)),IF($H26&lt;=$S26,$I26,IF(AND(ISNUMBER($G26),ISNUMBER($F26)),IF($F26&lt;=$S26,$G26,$E26),$E26)),IF(AND(ISNUMBER($G26),ISNUMBER($F26)),IF($F26&lt;=$S26,$G26,$E26),$E26))*(1+IF($J26="Y",0,Assumptions!$B$3)),"")</f>
        <v/>
      </c>
      <c r="W26" s="7">
        <f>IF(ISNUMBER($T26),$Q26*$T26/Assumptions!$B$4,"")</f>
        <v/>
      </c>
      <c r="X26" s="7">
        <f>IF(ISNUMBER($U26),$R26*$U26/Assumptions!$B$5,"")</f>
        <v/>
      </c>
      <c r="Y26" s="7">
        <f>IF(ISNUMBER($V26),$S26*$V26/Assumptions!$B$6,"")</f>
        <v/>
      </c>
      <c r="Z26" s="8">
        <f>$A26&amp;"|"&amp;IF(ISNUMBER($W26),TEXT($W26,"0.0000"),"x")&amp;"|"&amp;$L26</f>
        <v/>
      </c>
      <c r="AA26" s="8">
        <f>$A26&amp;"|"&amp;IF(ISNUMBER($Y26),TEXT($Y26,"0.0000"),"x")&amp;"|"&amp;$L26</f>
        <v/>
      </c>
    </row>
    <row r="27">
      <c r="A27" s="8" t="inlineStr">
        <is>
          <t>H173</t>
        </is>
      </c>
      <c r="B27" s="8" t="inlineStr">
        <is>
          <t>Wiltronics (AU)</t>
        </is>
      </c>
      <c r="C27" s="8" t="inlineStr">
        <is>
          <t>74HCT173</t>
        </is>
      </c>
      <c r="D27" s="12" t="n">
        <v>1</v>
      </c>
      <c r="E27" s="14" t="n">
        <v>1.12</v>
      </c>
      <c r="F27" s="12" t="n">
        <v>10</v>
      </c>
      <c r="G27" s="14" t="n">
        <v>1.01</v>
      </c>
      <c r="H27" s="12" t="n">
        <v>25</v>
      </c>
      <c r="I27" s="14" t="n">
        <v>0.8</v>
      </c>
      <c r="J27" s="12" t="inlineStr">
        <is>
          <t>Y</t>
        </is>
      </c>
      <c r="K27" s="8" t="inlineStr">
        <is>
          <t>not shown</t>
        </is>
      </c>
      <c r="L27" s="12" t="inlineStr">
        <is>
          <t>Y</t>
        </is>
      </c>
      <c r="M27" s="8" t="inlineStr">
        <is>
          <t>2026-10-25</t>
        </is>
      </c>
      <c r="N27" s="15" t="inlineStr">
        <is>
          <t>https://www.wiltronics.com.au/product/329/74hct173-tri-state-quad-d-flipflop/</t>
        </is>
      </c>
      <c r="O27" s="8" t="inlineStr">
        <is>
          <t>Wiltronics states prices include GST; no stock indicator on page. Not on preferred list but Australian retailer. DIP-16. Needs 900 for 100 kits; stock unknown. element14: no match.</t>
        </is>
      </c>
      <c r="P27" s="8">
        <f>IFERROR(VLOOKUP($A27,BOM!$A$2:$E$51,5,0),0)</f>
        <v/>
      </c>
      <c r="Q27" s="8">
        <f>CEILING($P27*Assumptions!$B$4/$D27,1)</f>
        <v/>
      </c>
      <c r="R27" s="8">
        <f>CEILING($P27*Assumptions!$B$5/$D27,1)</f>
        <v/>
      </c>
      <c r="S27" s="8">
        <f>CEILING($P27*Assumptions!$B$6/$D27,1)</f>
        <v/>
      </c>
      <c r="T27" s="7">
        <f>IF(ISNUMBER($E27),$E27*(1+IF($J27="Y",0,Assumptions!$B$3)),"")</f>
        <v/>
      </c>
      <c r="U27" s="7">
        <f>IF(ISNUMBER($E27),IF(AND(ISNUMBER($G27),ISNUMBER($F27)),IF($F27&lt;=$R27,$G27,$E27),$E27)*(1+IF($J27="Y",0,Assumptions!$B$3)),"")</f>
        <v/>
      </c>
      <c r="V27" s="7">
        <f>IF(ISNUMBER($E27),IF(AND(ISNUMBER($I27),ISNUMBER($H27)),IF($H27&lt;=$S27,$I27,IF(AND(ISNUMBER($G27),ISNUMBER($F27)),IF($F27&lt;=$S27,$G27,$E27),$E27)),IF(AND(ISNUMBER($G27),ISNUMBER($F27)),IF($F27&lt;=$S27,$G27,$E27),$E27))*(1+IF($J27="Y",0,Assumptions!$B$3)),"")</f>
        <v/>
      </c>
      <c r="W27" s="7">
        <f>IF(ISNUMBER($T27),$Q27*$T27/Assumptions!$B$4,"")</f>
        <v/>
      </c>
      <c r="X27" s="7">
        <f>IF(ISNUMBER($U27),$R27*$U27/Assumptions!$B$5,"")</f>
        <v/>
      </c>
      <c r="Y27" s="7">
        <f>IF(ISNUMBER($V27),$S27*$V27/Assumptions!$B$6,"")</f>
        <v/>
      </c>
      <c r="Z27" s="8">
        <f>$A27&amp;"|"&amp;IF(ISNUMBER($W27),TEXT($W27,"0.0000"),"x")&amp;"|"&amp;$L27</f>
        <v/>
      </c>
      <c r="AA27" s="8">
        <f>$A27&amp;"|"&amp;IF(ISNUMBER($Y27),TEXT($Y27,"0.0000"),"x")&amp;"|"&amp;$L27</f>
        <v/>
      </c>
    </row>
    <row r="28">
      <c r="A28" s="8" t="inlineStr">
        <is>
          <t>H174</t>
        </is>
      </c>
      <c r="B28" s="8" t="inlineStr">
        <is>
          <t>Mouser Australia</t>
        </is>
      </c>
      <c r="C28" s="8" t="inlineStr">
        <is>
          <t>CD74HCT174E (595-CD74HCT174E)</t>
        </is>
      </c>
      <c r="D28" s="12" t="n">
        <v>1</v>
      </c>
      <c r="E28" s="14" t="n">
        <v>2</v>
      </c>
      <c r="F28" s="12" t="n">
        <v>10</v>
      </c>
      <c r="G28" s="14" t="n">
        <v>1.46</v>
      </c>
      <c r="H28" s="12" t="n">
        <v>100</v>
      </c>
      <c r="I28" s="14" t="n">
        <v>1.17</v>
      </c>
      <c r="J28" s="12" t="inlineStr">
        <is>
          <t>N</t>
        </is>
      </c>
      <c r="K28" s="8" t="inlineStr">
        <is>
          <t>313</t>
        </is>
      </c>
      <c r="L28" s="12" t="inlineStr">
        <is>
          <t>Y</t>
        </is>
      </c>
      <c r="M28" s="8" t="inlineStr">
        <is>
          <t>2026-10-25</t>
        </is>
      </c>
      <c r="N28" s="15" t="inlineStr">
        <is>
          <t>https://au.mouser.com/c/?q=CD74HCT174E</t>
        </is>
      </c>
      <c r="O28" s="8" t="inlineStr">
        <is>
          <t>Mouser page states no GST treatment; treated as ex GST. TI PDIP-16.</t>
        </is>
      </c>
      <c r="P28" s="8">
        <f>IFERROR(VLOOKUP($A28,BOM!$A$2:$E$51,5,0),0)</f>
        <v/>
      </c>
      <c r="Q28" s="8">
        <f>CEILING($P28*Assumptions!$B$4/$D28,1)</f>
        <v/>
      </c>
      <c r="R28" s="8">
        <f>CEILING($P28*Assumptions!$B$5/$D28,1)</f>
        <v/>
      </c>
      <c r="S28" s="8">
        <f>CEILING($P28*Assumptions!$B$6/$D28,1)</f>
        <v/>
      </c>
      <c r="T28" s="7">
        <f>IF(ISNUMBER($E28),$E28*(1+IF($J28="Y",0,Assumptions!$B$3)),"")</f>
        <v/>
      </c>
      <c r="U28" s="7">
        <f>IF(ISNUMBER($E28),IF(AND(ISNUMBER($G28),ISNUMBER($F28)),IF($F28&lt;=$R28,$G28,$E28),$E28)*(1+IF($J28="Y",0,Assumptions!$B$3)),"")</f>
        <v/>
      </c>
      <c r="V28" s="7">
        <f>IF(ISNUMBER($E28),IF(AND(ISNUMBER($I28),ISNUMBER($H28)),IF($H28&lt;=$S28,$I28,IF(AND(ISNUMBER($G28),ISNUMBER($F28)),IF($F28&lt;=$S28,$G28,$E28),$E28)),IF(AND(ISNUMBER($G28),ISNUMBER($F28)),IF($F28&lt;=$S28,$G28,$E28),$E28))*(1+IF($J28="Y",0,Assumptions!$B$3)),"")</f>
        <v/>
      </c>
      <c r="W28" s="7">
        <f>IF(ISNUMBER($T28),$Q28*$T28/Assumptions!$B$4,"")</f>
        <v/>
      </c>
      <c r="X28" s="7">
        <f>IF(ISNUMBER($U28),$R28*$U28/Assumptions!$B$5,"")</f>
        <v/>
      </c>
      <c r="Y28" s="7">
        <f>IF(ISNUMBER($V28),$S28*$V28/Assumptions!$B$6,"")</f>
        <v/>
      </c>
      <c r="Z28" s="8">
        <f>$A28&amp;"|"&amp;IF(ISNUMBER($W28),TEXT($W28,"0.0000"),"x")&amp;"|"&amp;$L28</f>
        <v/>
      </c>
      <c r="AA28" s="8">
        <f>$A28&amp;"|"&amp;IF(ISNUMBER($Y28),TEXT($Y28,"0.0000"),"x")&amp;"|"&amp;$L28</f>
        <v/>
      </c>
    </row>
    <row r="29">
      <c r="A29" s="16" t="inlineStr">
        <is>
          <t>H174</t>
        </is>
      </c>
      <c r="B29" s="16" t="inlineStr">
        <is>
          <t>element14 Australia</t>
        </is>
      </c>
      <c r="C29" s="16" t="inlineStr">
        <is>
          <t>CD74HCT174E</t>
        </is>
      </c>
      <c r="D29" s="17" t="n">
        <v>1</v>
      </c>
      <c r="E29" s="18" t="n"/>
      <c r="F29" s="17" t="n"/>
      <c r="G29" s="18" t="n"/>
      <c r="H29" s="17" t="n"/>
      <c r="I29" s="18" t="n"/>
      <c r="J29" s="17" t="inlineStr">
        <is>
          <t>N</t>
        </is>
      </c>
      <c r="K29" s="16" t="inlineStr"/>
      <c r="L29" s="17" t="inlineStr">
        <is>
          <t>Y</t>
        </is>
      </c>
      <c r="M29" s="16" t="inlineStr">
        <is>
          <t>2026-10-25</t>
        </is>
      </c>
      <c r="N29" s="19" t="inlineStr">
        <is>
          <t>https://au.element14.com/w/search?st=CD74HCT174E</t>
        </is>
      </c>
      <c r="O29" s="16" t="inlineStr">
        <is>
          <t>No exact match on au.element14.com search (similar parts only); no DIP HCT version listed. element14 and Wiltronics list 74HC174 (HC) only. Only one HCT supplier found.</t>
        </is>
      </c>
      <c r="P29" s="8">
        <f>IFERROR(VLOOKUP($A29,BOM!$A$2:$E$51,5,0),0)</f>
        <v/>
      </c>
      <c r="Q29" s="8">
        <f>CEILING($P29*Assumptions!$B$4/$D29,1)</f>
        <v/>
      </c>
      <c r="R29" s="8">
        <f>CEILING($P29*Assumptions!$B$5/$D29,1)</f>
        <v/>
      </c>
      <c r="S29" s="8">
        <f>CEILING($P29*Assumptions!$B$6/$D29,1)</f>
        <v/>
      </c>
      <c r="T29" s="7">
        <f>IF(ISNUMBER($E29),$E29*(1+IF($J29="Y",0,Assumptions!$B$3)),"")</f>
        <v/>
      </c>
      <c r="U29" s="7">
        <f>IF(ISNUMBER($E29),IF(AND(ISNUMBER($G29),ISNUMBER($F29)),IF($F29&lt;=$R29,$G29,$E29),$E29)*(1+IF($J29="Y",0,Assumptions!$B$3)),"")</f>
        <v/>
      </c>
      <c r="V29" s="7">
        <f>IF(ISNUMBER($E29),IF(AND(ISNUMBER($I29),ISNUMBER($H29)),IF($H29&lt;=$S29,$I29,IF(AND(ISNUMBER($G29),ISNUMBER($F29)),IF($F29&lt;=$S29,$G29,$E29),$E29)),IF(AND(ISNUMBER($G29),ISNUMBER($F29)),IF($F29&lt;=$S29,$G29,$E29),$E29))*(1+IF($J29="Y",0,Assumptions!$B$3)),"")</f>
        <v/>
      </c>
      <c r="W29" s="7">
        <f>IF(ISNUMBER($T29),$Q29*$T29/Assumptions!$B$4,"")</f>
        <v/>
      </c>
      <c r="X29" s="7">
        <f>IF(ISNUMBER($U29),$R29*$U29/Assumptions!$B$5,"")</f>
        <v/>
      </c>
      <c r="Y29" s="7">
        <f>IF(ISNUMBER($V29),$S29*$V29/Assumptions!$B$6,"")</f>
        <v/>
      </c>
      <c r="Z29" s="8">
        <f>$A29&amp;"|"&amp;IF(ISNUMBER($W29),TEXT($W29,"0.0000"),"x")&amp;"|"&amp;$L29</f>
        <v/>
      </c>
      <c r="AA29" s="8">
        <f>$A29&amp;"|"&amp;IF(ISNUMBER($Y29),TEXT($Y29,"0.0000"),"x")&amp;"|"&amp;$L29</f>
        <v/>
      </c>
    </row>
    <row r="30">
      <c r="A30" s="8" t="inlineStr">
        <is>
          <t>H245</t>
        </is>
      </c>
      <c r="B30" s="8" t="inlineStr">
        <is>
          <t>Mouser Australia</t>
        </is>
      </c>
      <c r="C30" s="8" t="inlineStr">
        <is>
          <t>CD74HCT245E (595-CD74HCT245E)</t>
        </is>
      </c>
      <c r="D30" s="12" t="n">
        <v>1</v>
      </c>
      <c r="E30" s="14" t="n">
        <v>1.41</v>
      </c>
      <c r="F30" s="12" t="n">
        <v>10</v>
      </c>
      <c r="G30" s="14" t="n">
        <v>0.992</v>
      </c>
      <c r="H30" s="12" t="n">
        <v>100</v>
      </c>
      <c r="I30" s="14" t="n">
        <v>0.832</v>
      </c>
      <c r="J30" s="12" t="inlineStr">
        <is>
          <t>N</t>
        </is>
      </c>
      <c r="K30" s="8" t="inlineStr">
        <is>
          <t>2044</t>
        </is>
      </c>
      <c r="L30" s="12" t="inlineStr">
        <is>
          <t>Y</t>
        </is>
      </c>
      <c r="M30" s="8" t="inlineStr">
        <is>
          <t>2026-10-25</t>
        </is>
      </c>
      <c r="N30" s="15" t="inlineStr">
        <is>
          <t>https://au.mouser.com/ProductDetail/595-CD74HCT245E</t>
        </is>
      </c>
      <c r="O30" s="8" t="inlineStr">
        <is>
          <t>Mouser page states no GST treatment; treated as ex GST. TI PDIP-20. Break 20 = 0.919. Also SN74HCT245N 595-SN74HCT245N 6211 stock 1.42/0.973/0.837.</t>
        </is>
      </c>
      <c r="P30" s="8">
        <f>IFERROR(VLOOKUP($A30,BOM!$A$2:$E$51,5,0),0)</f>
        <v/>
      </c>
      <c r="Q30" s="8">
        <f>CEILING($P30*Assumptions!$B$4/$D30,1)</f>
        <v/>
      </c>
      <c r="R30" s="8">
        <f>CEILING($P30*Assumptions!$B$5/$D30,1)</f>
        <v/>
      </c>
      <c r="S30" s="8">
        <f>CEILING($P30*Assumptions!$B$6/$D30,1)</f>
        <v/>
      </c>
      <c r="T30" s="7">
        <f>IF(ISNUMBER($E30),$E30*(1+IF($J30="Y",0,Assumptions!$B$3)),"")</f>
        <v/>
      </c>
      <c r="U30" s="7">
        <f>IF(ISNUMBER($E30),IF(AND(ISNUMBER($G30),ISNUMBER($F30)),IF($F30&lt;=$R30,$G30,$E30),$E30)*(1+IF($J30="Y",0,Assumptions!$B$3)),"")</f>
        <v/>
      </c>
      <c r="V30" s="7">
        <f>IF(ISNUMBER($E30),IF(AND(ISNUMBER($I30),ISNUMBER($H30)),IF($H30&lt;=$S30,$I30,IF(AND(ISNUMBER($G30),ISNUMBER($F30)),IF($F30&lt;=$S30,$G30,$E30),$E30)),IF(AND(ISNUMBER($G30),ISNUMBER($F30)),IF($F30&lt;=$S30,$G30,$E30),$E30))*(1+IF($J30="Y",0,Assumptions!$B$3)),"")</f>
        <v/>
      </c>
      <c r="W30" s="7">
        <f>IF(ISNUMBER($T30),$Q30*$T30/Assumptions!$B$4,"")</f>
        <v/>
      </c>
      <c r="X30" s="7">
        <f>IF(ISNUMBER($U30),$R30*$U30/Assumptions!$B$5,"")</f>
        <v/>
      </c>
      <c r="Y30" s="7">
        <f>IF(ISNUMBER($V30),$S30*$V30/Assumptions!$B$6,"")</f>
        <v/>
      </c>
      <c r="Z30" s="8">
        <f>$A30&amp;"|"&amp;IF(ISNUMBER($W30),TEXT($W30,"0.0000"),"x")&amp;"|"&amp;$L30</f>
        <v/>
      </c>
      <c r="AA30" s="8">
        <f>$A30&amp;"|"&amp;IF(ISNUMBER($Y30),TEXT($Y30,"0.0000"),"x")&amp;"|"&amp;$L30</f>
        <v/>
      </c>
    </row>
    <row r="31">
      <c r="A31" s="8" t="inlineStr">
        <is>
          <t>H245</t>
        </is>
      </c>
      <c r="B31" s="8" t="inlineStr">
        <is>
          <t>element14 Australia</t>
        </is>
      </c>
      <c r="C31" s="8" t="inlineStr">
        <is>
          <t>SN74HCT245N (order code 3119519)</t>
        </is>
      </c>
      <c r="D31" s="12" t="n">
        <v>1</v>
      </c>
      <c r="E31" s="14" t="n">
        <v>1.46</v>
      </c>
      <c r="F31" s="12" t="n">
        <v>10</v>
      </c>
      <c r="G31" s="14" t="n">
        <v>0.926</v>
      </c>
      <c r="H31" s="12" t="n">
        <v>100</v>
      </c>
      <c r="I31" s="14" t="n">
        <v>0.797</v>
      </c>
      <c r="J31" s="12" t="inlineStr">
        <is>
          <t>N</t>
        </is>
      </c>
      <c r="K31" s="8" t="inlineStr">
        <is>
          <t>173 (+1000 incoming)</t>
        </is>
      </c>
      <c r="L31" s="12" t="inlineStr">
        <is>
          <t>Y</t>
        </is>
      </c>
      <c r="M31" s="8" t="inlineStr">
        <is>
          <t>2026-10-25</t>
        </is>
      </c>
      <c r="N31" s="15" t="inlineStr">
        <is>
          <t>https://au.element14.com/w/search?st=SN74HCT245N</t>
        </is>
      </c>
      <c r="O31" s="8" t="inlineStr">
        <is>
          <t>element14 shows ex GST with incl-GST in brackets; ex-GST figures recorded. TI DIP-20; 16 wk lead. Needs 900 for 100 kits.</t>
        </is>
      </c>
      <c r="P31" s="8">
        <f>IFERROR(VLOOKUP($A31,BOM!$A$2:$E$51,5,0),0)</f>
        <v/>
      </c>
      <c r="Q31" s="8">
        <f>CEILING($P31*Assumptions!$B$4/$D31,1)</f>
        <v/>
      </c>
      <c r="R31" s="8">
        <f>CEILING($P31*Assumptions!$B$5/$D31,1)</f>
        <v/>
      </c>
      <c r="S31" s="8">
        <f>CEILING($P31*Assumptions!$B$6/$D31,1)</f>
        <v/>
      </c>
      <c r="T31" s="7">
        <f>IF(ISNUMBER($E31),$E31*(1+IF($J31="Y",0,Assumptions!$B$3)),"")</f>
        <v/>
      </c>
      <c r="U31" s="7">
        <f>IF(ISNUMBER($E31),IF(AND(ISNUMBER($G31),ISNUMBER($F31)),IF($F31&lt;=$R31,$G31,$E31),$E31)*(1+IF($J31="Y",0,Assumptions!$B$3)),"")</f>
        <v/>
      </c>
      <c r="V31" s="7">
        <f>IF(ISNUMBER($E31),IF(AND(ISNUMBER($I31),ISNUMBER($H31)),IF($H31&lt;=$S31,$I31,IF(AND(ISNUMBER($G31),ISNUMBER($F31)),IF($F31&lt;=$S31,$G31,$E31),$E31)),IF(AND(ISNUMBER($G31),ISNUMBER($F31)),IF($F31&lt;=$S31,$G31,$E31),$E31))*(1+IF($J31="Y",0,Assumptions!$B$3)),"")</f>
        <v/>
      </c>
      <c r="W31" s="7">
        <f>IF(ISNUMBER($T31),$Q31*$T31/Assumptions!$B$4,"")</f>
        <v/>
      </c>
      <c r="X31" s="7">
        <f>IF(ISNUMBER($U31),$R31*$U31/Assumptions!$B$5,"")</f>
        <v/>
      </c>
      <c r="Y31" s="7">
        <f>IF(ISNUMBER($V31),$S31*$V31/Assumptions!$B$6,"")</f>
        <v/>
      </c>
      <c r="Z31" s="8">
        <f>$A31&amp;"|"&amp;IF(ISNUMBER($W31),TEXT($W31,"0.0000"),"x")&amp;"|"&amp;$L31</f>
        <v/>
      </c>
      <c r="AA31" s="8">
        <f>$A31&amp;"|"&amp;IF(ISNUMBER($Y31),TEXT($Y31,"0.0000"),"x")&amp;"|"&amp;$L31</f>
        <v/>
      </c>
    </row>
    <row r="32">
      <c r="A32" s="8" t="inlineStr">
        <is>
          <t>H283</t>
        </is>
      </c>
      <c r="B32" s="8" t="inlineStr">
        <is>
          <t>Mouser Australia</t>
        </is>
      </c>
      <c r="C32" s="8" t="inlineStr">
        <is>
          <t>CD74HCT283E (595-CD74HCT283E)</t>
        </is>
      </c>
      <c r="D32" s="12" t="n">
        <v>1</v>
      </c>
      <c r="E32" s="14" t="n">
        <v>2.03</v>
      </c>
      <c r="F32" s="12" t="n">
        <v>10</v>
      </c>
      <c r="G32" s="14" t="n">
        <v>1.46</v>
      </c>
      <c r="H32" s="12" t="n">
        <v>100</v>
      </c>
      <c r="I32" s="14" t="n">
        <v>1.16</v>
      </c>
      <c r="J32" s="12" t="inlineStr">
        <is>
          <t>N</t>
        </is>
      </c>
      <c r="K32" s="8" t="inlineStr">
        <is>
          <t>994</t>
        </is>
      </c>
      <c r="L32" s="12" t="inlineStr">
        <is>
          <t>Y</t>
        </is>
      </c>
      <c r="M32" s="8" t="inlineStr">
        <is>
          <t>2026-10-25</t>
        </is>
      </c>
      <c r="N32" s="15" t="inlineStr">
        <is>
          <t>https://au.mouser.com/c/?q=74HCT283</t>
        </is>
      </c>
      <c r="O32" s="8" t="inlineStr">
        <is>
          <t>Mouser page states no GST treatment; treated as ex GST. TI CD74HCT283E listed in 74HCT283 search; package not stated on search page but E suffix = PDIP-16.</t>
        </is>
      </c>
      <c r="P32" s="8">
        <f>IFERROR(VLOOKUP($A32,BOM!$A$2:$E$51,5,0),0)</f>
        <v/>
      </c>
      <c r="Q32" s="8">
        <f>CEILING($P32*Assumptions!$B$4/$D32,1)</f>
        <v/>
      </c>
      <c r="R32" s="8">
        <f>CEILING($P32*Assumptions!$B$5/$D32,1)</f>
        <v/>
      </c>
      <c r="S32" s="8">
        <f>CEILING($P32*Assumptions!$B$6/$D32,1)</f>
        <v/>
      </c>
      <c r="T32" s="7">
        <f>IF(ISNUMBER($E32),$E32*(1+IF($J32="Y",0,Assumptions!$B$3)),"")</f>
        <v/>
      </c>
      <c r="U32" s="7">
        <f>IF(ISNUMBER($E32),IF(AND(ISNUMBER($G32),ISNUMBER($F32)),IF($F32&lt;=$R32,$G32,$E32),$E32)*(1+IF($J32="Y",0,Assumptions!$B$3)),"")</f>
        <v/>
      </c>
      <c r="V32" s="7">
        <f>IF(ISNUMBER($E32),IF(AND(ISNUMBER($I32),ISNUMBER($H32)),IF($H32&lt;=$S32,$I32,IF(AND(ISNUMBER($G32),ISNUMBER($F32)),IF($F32&lt;=$S32,$G32,$E32),$E32)),IF(AND(ISNUMBER($G32),ISNUMBER($F32)),IF($F32&lt;=$S32,$G32,$E32),$E32))*(1+IF($J32="Y",0,Assumptions!$B$3)),"")</f>
        <v/>
      </c>
      <c r="W32" s="7">
        <f>IF(ISNUMBER($T32),$Q32*$T32/Assumptions!$B$4,"")</f>
        <v/>
      </c>
      <c r="X32" s="7">
        <f>IF(ISNUMBER($U32),$R32*$U32/Assumptions!$B$5,"")</f>
        <v/>
      </c>
      <c r="Y32" s="7">
        <f>IF(ISNUMBER($V32),$S32*$V32/Assumptions!$B$6,"")</f>
        <v/>
      </c>
      <c r="Z32" s="8">
        <f>$A32&amp;"|"&amp;IF(ISNUMBER($W32),TEXT($W32,"0.0000"),"x")&amp;"|"&amp;$L32</f>
        <v/>
      </c>
      <c r="AA32" s="8">
        <f>$A32&amp;"|"&amp;IF(ISNUMBER($Y32),TEXT($Y32,"0.0000"),"x")&amp;"|"&amp;$L32</f>
        <v/>
      </c>
    </row>
    <row r="33">
      <c r="A33" s="8" t="inlineStr">
        <is>
          <t>H283</t>
        </is>
      </c>
      <c r="B33" s="8" t="inlineStr">
        <is>
          <t>Mouser Australia</t>
        </is>
      </c>
      <c r="C33" s="8" t="inlineStr">
        <is>
          <t>CD74HC283E (595-CD74HC283E)</t>
        </is>
      </c>
      <c r="D33" s="12" t="n">
        <v>1</v>
      </c>
      <c r="E33" s="14" t="n">
        <v>2.04</v>
      </c>
      <c r="F33" s="12" t="n">
        <v>10</v>
      </c>
      <c r="G33" s="14" t="n">
        <v>1.49</v>
      </c>
      <c r="H33" s="12" t="n">
        <v>100</v>
      </c>
      <c r="I33" s="14" t="n">
        <v>1.19</v>
      </c>
      <c r="J33" s="12" t="inlineStr">
        <is>
          <t>N</t>
        </is>
      </c>
      <c r="K33" s="8" t="inlineStr">
        <is>
          <t>305 (+1000 due 19/11/2026)</t>
        </is>
      </c>
      <c r="L33" s="12" t="inlineStr">
        <is>
          <t>Y</t>
        </is>
      </c>
      <c r="M33" s="8" t="inlineStr">
        <is>
          <t>2026-10-25</t>
        </is>
      </c>
      <c r="N33" s="15" t="inlineStr">
        <is>
          <t>https://au.mouser.com/ProductDetail/595-CD74HC283E</t>
        </is>
      </c>
      <c r="O33" s="8" t="inlineStr">
        <is>
          <t>HC family alternative (acceptable). Mouser page states no GST treatment; treated as ex GST. PDIP-16.</t>
        </is>
      </c>
      <c r="P33" s="8">
        <f>IFERROR(VLOOKUP($A33,BOM!$A$2:$E$51,5,0),0)</f>
        <v/>
      </c>
      <c r="Q33" s="8">
        <f>CEILING($P33*Assumptions!$B$4/$D33,1)</f>
        <v/>
      </c>
      <c r="R33" s="8">
        <f>CEILING($P33*Assumptions!$B$5/$D33,1)</f>
        <v/>
      </c>
      <c r="S33" s="8">
        <f>CEILING($P33*Assumptions!$B$6/$D33,1)</f>
        <v/>
      </c>
      <c r="T33" s="7">
        <f>IF(ISNUMBER($E33),$E33*(1+IF($J33="Y",0,Assumptions!$B$3)),"")</f>
        <v/>
      </c>
      <c r="U33" s="7">
        <f>IF(ISNUMBER($E33),IF(AND(ISNUMBER($G33),ISNUMBER($F33)),IF($F33&lt;=$R33,$G33,$E33),$E33)*(1+IF($J33="Y",0,Assumptions!$B$3)),"")</f>
        <v/>
      </c>
      <c r="V33" s="7">
        <f>IF(ISNUMBER($E33),IF(AND(ISNUMBER($I33),ISNUMBER($H33)),IF($H33&lt;=$S33,$I33,IF(AND(ISNUMBER($G33),ISNUMBER($F33)),IF($F33&lt;=$S33,$G33,$E33),$E33)),IF(AND(ISNUMBER($G33),ISNUMBER($F33)),IF($F33&lt;=$S33,$G33,$E33),$E33))*(1+IF($J33="Y",0,Assumptions!$B$3)),"")</f>
        <v/>
      </c>
      <c r="W33" s="7">
        <f>IF(ISNUMBER($T33),$Q33*$T33/Assumptions!$B$4,"")</f>
        <v/>
      </c>
      <c r="X33" s="7">
        <f>IF(ISNUMBER($U33),$R33*$U33/Assumptions!$B$5,"")</f>
        <v/>
      </c>
      <c r="Y33" s="7">
        <f>IF(ISNUMBER($V33),$S33*$V33/Assumptions!$B$6,"")</f>
        <v/>
      </c>
      <c r="Z33" s="8">
        <f>$A33&amp;"|"&amp;IF(ISNUMBER($W33),TEXT($W33,"0.0000"),"x")&amp;"|"&amp;$L33</f>
        <v/>
      </c>
      <c r="AA33" s="8">
        <f>$A33&amp;"|"&amp;IF(ISNUMBER($Y33),TEXT($Y33,"0.0000"),"x")&amp;"|"&amp;$L33</f>
        <v/>
      </c>
    </row>
    <row r="34">
      <c r="A34" s="16" t="inlineStr">
        <is>
          <t>H283</t>
        </is>
      </c>
      <c r="B34" s="16" t="inlineStr">
        <is>
          <t>element14 Australia</t>
        </is>
      </c>
      <c r="C34" s="16" t="inlineStr">
        <is>
          <t>CD74HC283E (order code 3121043)</t>
        </is>
      </c>
      <c r="D34" s="17" t="n">
        <v>1</v>
      </c>
      <c r="E34" s="18" t="n"/>
      <c r="F34" s="17" t="n"/>
      <c r="G34" s="18" t="n"/>
      <c r="H34" s="17" t="n"/>
      <c r="I34" s="18" t="n"/>
      <c r="J34" s="17" t="inlineStr">
        <is>
          <t>N</t>
        </is>
      </c>
      <c r="K34" s="16" t="inlineStr">
        <is>
          <t>No Longer Stocked</t>
        </is>
      </c>
      <c r="L34" s="17" t="inlineStr">
        <is>
          <t>Y</t>
        </is>
      </c>
      <c r="M34" s="16" t="inlineStr">
        <is>
          <t>2026-10-25</t>
        </is>
      </c>
      <c r="N34" s="19" t="inlineStr">
        <is>
          <t>https://au.element14.com/w/search?st=CD74HC283E</t>
        </is>
      </c>
      <c r="O34" s="16" t="inlineStr">
        <is>
          <t>element14 lists CD74HC283E as No Longer Stocked, no price. CD74HCT283E and SN74HC283N: no match. Only Mouser found.</t>
        </is>
      </c>
      <c r="P34" s="8">
        <f>IFERROR(VLOOKUP($A34,BOM!$A$2:$E$51,5,0),0)</f>
        <v/>
      </c>
      <c r="Q34" s="8">
        <f>CEILING($P34*Assumptions!$B$4/$D34,1)</f>
        <v/>
      </c>
      <c r="R34" s="8">
        <f>CEILING($P34*Assumptions!$B$5/$D34,1)</f>
        <v/>
      </c>
      <c r="S34" s="8">
        <f>CEILING($P34*Assumptions!$B$6/$D34,1)</f>
        <v/>
      </c>
      <c r="T34" s="7">
        <f>IF(ISNUMBER($E34),$E34*(1+IF($J34="Y",0,Assumptions!$B$3)),"")</f>
        <v/>
      </c>
      <c r="U34" s="7">
        <f>IF(ISNUMBER($E34),IF(AND(ISNUMBER($G34),ISNUMBER($F34)),IF($F34&lt;=$R34,$G34,$E34),$E34)*(1+IF($J34="Y",0,Assumptions!$B$3)),"")</f>
        <v/>
      </c>
      <c r="V34" s="7">
        <f>IF(ISNUMBER($E34),IF(AND(ISNUMBER($I34),ISNUMBER($H34)),IF($H34&lt;=$S34,$I34,IF(AND(ISNUMBER($G34),ISNUMBER($F34)),IF($F34&lt;=$S34,$G34,$E34),$E34)),IF(AND(ISNUMBER($G34),ISNUMBER($F34)),IF($F34&lt;=$S34,$G34,$E34),$E34))*(1+IF($J34="Y",0,Assumptions!$B$3)),"")</f>
        <v/>
      </c>
      <c r="W34" s="7">
        <f>IF(ISNUMBER($T34),$Q34*$T34/Assumptions!$B$4,"")</f>
        <v/>
      </c>
      <c r="X34" s="7">
        <f>IF(ISNUMBER($U34),$R34*$U34/Assumptions!$B$5,"")</f>
        <v/>
      </c>
      <c r="Y34" s="7">
        <f>IF(ISNUMBER($V34),$S34*$V34/Assumptions!$B$6,"")</f>
        <v/>
      </c>
      <c r="Z34" s="8">
        <f>$A34&amp;"|"&amp;IF(ISNUMBER($W34),TEXT($W34,"0.0000"),"x")&amp;"|"&amp;$L34</f>
        <v/>
      </c>
      <c r="AA34" s="8">
        <f>$A34&amp;"|"&amp;IF(ISNUMBER($Y34),TEXT($Y34,"0.0000"),"x")&amp;"|"&amp;$L34</f>
        <v/>
      </c>
    </row>
    <row r="35">
      <c r="A35" s="8" t="inlineStr">
        <is>
          <t>H377</t>
        </is>
      </c>
      <c r="B35" s="8" t="inlineStr">
        <is>
          <t>Mouser Australia</t>
        </is>
      </c>
      <c r="C35" s="8" t="inlineStr">
        <is>
          <t>CD74HCT377E (595-CD74HCT377E)</t>
        </is>
      </c>
      <c r="D35" s="12" t="n">
        <v>1</v>
      </c>
      <c r="E35" s="14" t="n">
        <v>1.87</v>
      </c>
      <c r="F35" s="12" t="n">
        <v>10</v>
      </c>
      <c r="G35" s="14" t="n">
        <v>1.26</v>
      </c>
      <c r="H35" s="12" t="n">
        <v>100</v>
      </c>
      <c r="I35" s="14" t="n">
        <v>1.09</v>
      </c>
      <c r="J35" s="12" t="inlineStr">
        <is>
          <t>N</t>
        </is>
      </c>
      <c r="K35" s="8" t="inlineStr">
        <is>
          <t>875</t>
        </is>
      </c>
      <c r="L35" s="12" t="inlineStr">
        <is>
          <t>Y</t>
        </is>
      </c>
      <c r="M35" s="8" t="inlineStr">
        <is>
          <t>2026-10-25</t>
        </is>
      </c>
      <c r="N35" s="15" t="inlineStr">
        <is>
          <t>https://au.mouser.com/c/?q=74HCT377</t>
        </is>
      </c>
      <c r="O35" s="8" t="inlineStr">
        <is>
          <t>Mouser page states no GST treatment; treated as ex GST. TI PDIP-20; Mouser break is 20 (1.18) and 100. Alt same page: SN74HCT377N 1070 stock 2.26/1.54/1.33.</t>
        </is>
      </c>
      <c r="P35" s="8">
        <f>IFERROR(VLOOKUP($A35,BOM!$A$2:$E$51,5,0),0)</f>
        <v/>
      </c>
      <c r="Q35" s="8">
        <f>CEILING($P35*Assumptions!$B$4/$D35,1)</f>
        <v/>
      </c>
      <c r="R35" s="8">
        <f>CEILING($P35*Assumptions!$B$5/$D35,1)</f>
        <v/>
      </c>
      <c r="S35" s="8">
        <f>CEILING($P35*Assumptions!$B$6/$D35,1)</f>
        <v/>
      </c>
      <c r="T35" s="7">
        <f>IF(ISNUMBER($E35),$E35*(1+IF($J35="Y",0,Assumptions!$B$3)),"")</f>
        <v/>
      </c>
      <c r="U35" s="7">
        <f>IF(ISNUMBER($E35),IF(AND(ISNUMBER($G35),ISNUMBER($F35)),IF($F35&lt;=$R35,$G35,$E35),$E35)*(1+IF($J35="Y",0,Assumptions!$B$3)),"")</f>
        <v/>
      </c>
      <c r="V35" s="7">
        <f>IF(ISNUMBER($E35),IF(AND(ISNUMBER($I35),ISNUMBER($H35)),IF($H35&lt;=$S35,$I35,IF(AND(ISNUMBER($G35),ISNUMBER($F35)),IF($F35&lt;=$S35,$G35,$E35),$E35)),IF(AND(ISNUMBER($G35),ISNUMBER($F35)),IF($F35&lt;=$S35,$G35,$E35),$E35))*(1+IF($J35="Y",0,Assumptions!$B$3)),"")</f>
        <v/>
      </c>
      <c r="W35" s="7">
        <f>IF(ISNUMBER($T35),$Q35*$T35/Assumptions!$B$4,"")</f>
        <v/>
      </c>
      <c r="X35" s="7">
        <f>IF(ISNUMBER($U35),$R35*$U35/Assumptions!$B$5,"")</f>
        <v/>
      </c>
      <c r="Y35" s="7">
        <f>IF(ISNUMBER($V35),$S35*$V35/Assumptions!$B$6,"")</f>
        <v/>
      </c>
      <c r="Z35" s="8">
        <f>$A35&amp;"|"&amp;IF(ISNUMBER($W35),TEXT($W35,"0.0000"),"x")&amp;"|"&amp;$L35</f>
        <v/>
      </c>
      <c r="AA35" s="8">
        <f>$A35&amp;"|"&amp;IF(ISNUMBER($Y35),TEXT($Y35,"0.0000"),"x")&amp;"|"&amp;$L35</f>
        <v/>
      </c>
    </row>
    <row r="36">
      <c r="A36" s="16" t="inlineStr">
        <is>
          <t>H377</t>
        </is>
      </c>
      <c r="B36" s="16" t="inlineStr">
        <is>
          <t>element14 Australia</t>
        </is>
      </c>
      <c r="C36" s="16" t="inlineStr">
        <is>
          <t>CD74HCT377E</t>
        </is>
      </c>
      <c r="D36" s="17" t="n">
        <v>1</v>
      </c>
      <c r="E36" s="18" t="n"/>
      <c r="F36" s="17" t="n"/>
      <c r="G36" s="18" t="n"/>
      <c r="H36" s="17" t="n"/>
      <c r="I36" s="18" t="n"/>
      <c r="J36" s="17" t="inlineStr">
        <is>
          <t>N</t>
        </is>
      </c>
      <c r="K36" s="16" t="inlineStr"/>
      <c r="L36" s="17" t="inlineStr">
        <is>
          <t>Y</t>
        </is>
      </c>
      <c r="M36" s="16" t="inlineStr">
        <is>
          <t>2026-10-25</t>
        </is>
      </c>
      <c r="N36" s="19" t="inlineStr">
        <is>
          <t>https://au.element14.com/w/search?st=CD74HCT377E</t>
        </is>
      </c>
      <c r="O36" s="16" t="inlineStr">
        <is>
          <t>No exact match on au.element14.com search (similar parts only); no DIP HCT version listed. SN74HCT377N also no match. Only one supplier found.</t>
        </is>
      </c>
      <c r="P36" s="8">
        <f>IFERROR(VLOOKUP($A36,BOM!$A$2:$E$51,5,0),0)</f>
        <v/>
      </c>
      <c r="Q36" s="8">
        <f>CEILING($P36*Assumptions!$B$4/$D36,1)</f>
        <v/>
      </c>
      <c r="R36" s="8">
        <f>CEILING($P36*Assumptions!$B$5/$D36,1)</f>
        <v/>
      </c>
      <c r="S36" s="8">
        <f>CEILING($P36*Assumptions!$B$6/$D36,1)</f>
        <v/>
      </c>
      <c r="T36" s="7">
        <f>IF(ISNUMBER($E36),$E36*(1+IF($J36="Y",0,Assumptions!$B$3)),"")</f>
        <v/>
      </c>
      <c r="U36" s="7">
        <f>IF(ISNUMBER($E36),IF(AND(ISNUMBER($G36),ISNUMBER($F36)),IF($F36&lt;=$R36,$G36,$E36),$E36)*(1+IF($J36="Y",0,Assumptions!$B$3)),"")</f>
        <v/>
      </c>
      <c r="V36" s="7">
        <f>IF(ISNUMBER($E36),IF(AND(ISNUMBER($I36),ISNUMBER($H36)),IF($H36&lt;=$S36,$I36,IF(AND(ISNUMBER($G36),ISNUMBER($F36)),IF($F36&lt;=$S36,$G36,$E36),$E36)),IF(AND(ISNUMBER($G36),ISNUMBER($F36)),IF($F36&lt;=$S36,$G36,$E36),$E36))*(1+IF($J36="Y",0,Assumptions!$B$3)),"")</f>
        <v/>
      </c>
      <c r="W36" s="7">
        <f>IF(ISNUMBER($T36),$Q36*$T36/Assumptions!$B$4,"")</f>
        <v/>
      </c>
      <c r="X36" s="7">
        <f>IF(ISNUMBER($U36),$R36*$U36/Assumptions!$B$5,"")</f>
        <v/>
      </c>
      <c r="Y36" s="7">
        <f>IF(ISNUMBER($V36),$S36*$V36/Assumptions!$B$6,"")</f>
        <v/>
      </c>
      <c r="Z36" s="8">
        <f>$A36&amp;"|"&amp;IF(ISNUMBER($W36),TEXT($W36,"0.0000"),"x")&amp;"|"&amp;$L36</f>
        <v/>
      </c>
      <c r="AA36" s="8">
        <f>$A36&amp;"|"&amp;IF(ISNUMBER($Y36),TEXT($Y36,"0.0000"),"x")&amp;"|"&amp;$L36</f>
        <v/>
      </c>
    </row>
    <row r="37">
      <c r="A37" s="8" t="inlineStr">
        <is>
          <t>IC16</t>
        </is>
      </c>
      <c r="B37" s="8" t="inlineStr">
        <is>
          <t>Core Electronics</t>
        </is>
      </c>
      <c r="C37" s="8" t="inlineStr">
        <is>
          <t>CE09912 (TI 555, 8-pin DIP; datasheet linked is NE555)</t>
        </is>
      </c>
      <c r="D37" s="12" t="n">
        <v>1</v>
      </c>
      <c r="E37" s="14" t="n">
        <v>0.75</v>
      </c>
      <c r="F37" s="12" t="n"/>
      <c r="G37" s="14" t="n"/>
      <c r="H37" s="12" t="n"/>
      <c r="I37" s="14" t="n"/>
      <c r="J37" s="12" t="inlineStr">
        <is>
          <t>Y</t>
        </is>
      </c>
      <c r="K37" s="8" t="inlineStr">
        <is>
          <t>100 from local stock plus supplier stock</t>
        </is>
      </c>
      <c r="L37" s="12" t="inlineStr">
        <is>
          <t>Y</t>
        </is>
      </c>
      <c r="M37" s="8" t="inlineStr">
        <is>
          <t>2026-10-24</t>
        </is>
      </c>
      <c r="N37" s="15" t="inlineStr">
        <is>
          <t>https://core-electronics.com.au/555-timer-general-purpose-timer-ic.html</t>
        </is>
      </c>
      <c r="O37" s="8" t="inlineStr">
        <is>
          <t>Core prices GST inclusive (site FAQ). No qty breaks shown. Page does not print the exact MPN; TI part with NE555 datasheet.</t>
        </is>
      </c>
      <c r="P37" s="8">
        <f>IFERROR(VLOOKUP($A37,BOM!$A$2:$E$51,5,0),0)</f>
        <v/>
      </c>
      <c r="Q37" s="8">
        <f>CEILING($P37*Assumptions!$B$4/$D37,1)</f>
        <v/>
      </c>
      <c r="R37" s="8">
        <f>CEILING($P37*Assumptions!$B$5/$D37,1)</f>
        <v/>
      </c>
      <c r="S37" s="8">
        <f>CEILING($P37*Assumptions!$B$6/$D37,1)</f>
        <v/>
      </c>
      <c r="T37" s="7">
        <f>IF(ISNUMBER($E37),$E37*(1+IF($J37="Y",0,Assumptions!$B$3)),"")</f>
        <v/>
      </c>
      <c r="U37" s="7">
        <f>IF(ISNUMBER($E37),IF(AND(ISNUMBER($G37),ISNUMBER($F37)),IF($F37&lt;=$R37,$G37,$E37),$E37)*(1+IF($J37="Y",0,Assumptions!$B$3)),"")</f>
        <v/>
      </c>
      <c r="V37" s="7">
        <f>IF(ISNUMBER($E37),IF(AND(ISNUMBER($I37),ISNUMBER($H37)),IF($H37&lt;=$S37,$I37,IF(AND(ISNUMBER($G37),ISNUMBER($F37)),IF($F37&lt;=$S37,$G37,$E37),$E37)),IF(AND(ISNUMBER($G37),ISNUMBER($F37)),IF($F37&lt;=$S37,$G37,$E37),$E37))*(1+IF($J37="Y",0,Assumptions!$B$3)),"")</f>
        <v/>
      </c>
      <c r="W37" s="7">
        <f>IF(ISNUMBER($T37),$Q37*$T37/Assumptions!$B$4,"")</f>
        <v/>
      </c>
      <c r="X37" s="7">
        <f>IF(ISNUMBER($U37),$R37*$U37/Assumptions!$B$5,"")</f>
        <v/>
      </c>
      <c r="Y37" s="7">
        <f>IF(ISNUMBER($V37),$S37*$V37/Assumptions!$B$6,"")</f>
        <v/>
      </c>
      <c r="Z37" s="8">
        <f>$A37&amp;"|"&amp;IF(ISNUMBER($W37),TEXT($W37,"0.0000"),"x")&amp;"|"&amp;$L37</f>
        <v/>
      </c>
      <c r="AA37" s="8">
        <f>$A37&amp;"|"&amp;IF(ISNUMBER($Y37),TEXT($Y37,"0.0000"),"x")&amp;"|"&amp;$L37</f>
        <v/>
      </c>
    </row>
    <row r="38">
      <c r="A38" s="8" t="inlineStr">
        <is>
          <t>IC16</t>
        </is>
      </c>
      <c r="B38" s="8" t="inlineStr">
        <is>
          <t>Mouser Australia</t>
        </is>
      </c>
      <c r="C38" s="8" t="inlineStr">
        <is>
          <t>NE555P (TI, PDIP-8)</t>
        </is>
      </c>
      <c r="D38" s="12" t="n">
        <v>1</v>
      </c>
      <c r="E38" s="14" t="n">
        <v>0.856</v>
      </c>
      <c r="F38" s="12" t="n">
        <v>10</v>
      </c>
      <c r="G38" s="14" t="n">
        <v>0.596</v>
      </c>
      <c r="H38" s="12" t="n">
        <v>100</v>
      </c>
      <c r="I38" s="14" t="n">
        <v>0.461</v>
      </c>
      <c r="J38" s="12" t="inlineStr">
        <is>
          <t>N</t>
        </is>
      </c>
      <c r="K38" s="8" t="inlineStr">
        <is>
          <t>62,467 in stock; 5,000 on order (exp 1/02/2027)</t>
        </is>
      </c>
      <c r="L38" s="12" t="inlineStr">
        <is>
          <t>Y</t>
        </is>
      </c>
      <c r="M38" s="8" t="inlineStr">
        <is>
          <t>2026-10-24</t>
        </is>
      </c>
      <c r="N38" s="15" t="inlineStr">
        <is>
          <t>https://au.mouser.com/en/ProductDetail/Texas-Instruments/NE555P?qs=rkhjVJ6%2F3EIf4CWgjIKuKQ%3D%3D</t>
        </is>
      </c>
      <c r="O38" s="8" t="inlineStr">
        <is>
          <t>Mouser AU price in AUD; page states no GST treatment (only 'prices include duty and customs fees', DDP). Treated as ex-GST (GST added at checkout) - confirm at checkout.</t>
        </is>
      </c>
      <c r="P38" s="8">
        <f>IFERROR(VLOOKUP($A38,BOM!$A$2:$E$51,5,0),0)</f>
        <v/>
      </c>
      <c r="Q38" s="8">
        <f>CEILING($P38*Assumptions!$B$4/$D38,1)</f>
        <v/>
      </c>
      <c r="R38" s="8">
        <f>CEILING($P38*Assumptions!$B$5/$D38,1)</f>
        <v/>
      </c>
      <c r="S38" s="8">
        <f>CEILING($P38*Assumptions!$B$6/$D38,1)</f>
        <v/>
      </c>
      <c r="T38" s="7">
        <f>IF(ISNUMBER($E38),$E38*(1+IF($J38="Y",0,Assumptions!$B$3)),"")</f>
        <v/>
      </c>
      <c r="U38" s="7">
        <f>IF(ISNUMBER($E38),IF(AND(ISNUMBER($G38),ISNUMBER($F38)),IF($F38&lt;=$R38,$G38,$E38),$E38)*(1+IF($J38="Y",0,Assumptions!$B$3)),"")</f>
        <v/>
      </c>
      <c r="V38" s="7">
        <f>IF(ISNUMBER($E38),IF(AND(ISNUMBER($I38),ISNUMBER($H38)),IF($H38&lt;=$S38,$I38,IF(AND(ISNUMBER($G38),ISNUMBER($F38)),IF($F38&lt;=$S38,$G38,$E38),$E38)),IF(AND(ISNUMBER($G38),ISNUMBER($F38)),IF($F38&lt;=$S38,$G38,$E38),$E38))*(1+IF($J38="Y",0,Assumptions!$B$3)),"")</f>
        <v/>
      </c>
      <c r="W38" s="7">
        <f>IF(ISNUMBER($T38),$Q38*$T38/Assumptions!$B$4,"")</f>
        <v/>
      </c>
      <c r="X38" s="7">
        <f>IF(ISNUMBER($U38),$R38*$U38/Assumptions!$B$5,"")</f>
        <v/>
      </c>
      <c r="Y38" s="7">
        <f>IF(ISNUMBER($V38),$S38*$V38/Assumptions!$B$6,"")</f>
        <v/>
      </c>
      <c r="Z38" s="8">
        <f>$A38&amp;"|"&amp;IF(ISNUMBER($W38),TEXT($W38,"0.0000"),"x")&amp;"|"&amp;$L38</f>
        <v/>
      </c>
      <c r="AA38" s="8">
        <f>$A38&amp;"|"&amp;IF(ISNUMBER($Y38),TEXT($Y38,"0.0000"),"x")&amp;"|"&amp;$L38</f>
        <v/>
      </c>
    </row>
    <row r="39">
      <c r="A39" s="8" t="inlineStr">
        <is>
          <t>IC17</t>
        </is>
      </c>
      <c r="B39" s="8" t="inlineStr">
        <is>
          <t>Mouser Australia</t>
        </is>
      </c>
      <c r="C39" s="8" t="inlineStr">
        <is>
          <t>AS6C62256-55PCN (Alliance Memory)</t>
        </is>
      </c>
      <c r="D39" s="12" t="n">
        <v>1</v>
      </c>
      <c r="E39" s="14" t="n">
        <v>16.37</v>
      </c>
      <c r="F39" s="12" t="n">
        <v>10</v>
      </c>
      <c r="G39" s="14" t="n">
        <v>15.21</v>
      </c>
      <c r="H39" s="12" t="n">
        <v>105</v>
      </c>
      <c r="I39" s="14" t="n">
        <v>13.72</v>
      </c>
      <c r="J39" s="12" t="inlineStr">
        <is>
          <t>N</t>
        </is>
      </c>
      <c r="K39" s="8" t="inlineStr">
        <is>
          <t>1,374 (20 wk factory lead beyond stock)</t>
        </is>
      </c>
      <c r="L39" s="12" t="inlineStr">
        <is>
          <t>Y</t>
        </is>
      </c>
      <c r="M39" s="8" t="inlineStr">
        <is>
          <t>2026-10-24</t>
        </is>
      </c>
      <c r="N39" s="15" t="inlineStr">
        <is>
          <t>https://au.mouser.com/ProductDetail/913-AS6C62256-55PCN</t>
        </is>
      </c>
      <c r="O39" s="8" t="inlineStr">
        <is>
          <t>PDIP-28. GST is not mentioned on the page, so ex-GST is assumed. The alternative AS6C62256A-70PCN is listed by Mouser as obsolete and not sold in the AU region.</t>
        </is>
      </c>
      <c r="P39" s="8">
        <f>IFERROR(VLOOKUP($A39,BOM!$A$2:$E$51,5,0),0)</f>
        <v/>
      </c>
      <c r="Q39" s="8">
        <f>CEILING($P39*Assumptions!$B$4/$D39,1)</f>
        <v/>
      </c>
      <c r="R39" s="8">
        <f>CEILING($P39*Assumptions!$B$5/$D39,1)</f>
        <v/>
      </c>
      <c r="S39" s="8">
        <f>CEILING($P39*Assumptions!$B$6/$D39,1)</f>
        <v/>
      </c>
      <c r="T39" s="7">
        <f>IF(ISNUMBER($E39),$E39*(1+IF($J39="Y",0,Assumptions!$B$3)),"")</f>
        <v/>
      </c>
      <c r="U39" s="7">
        <f>IF(ISNUMBER($E39),IF(AND(ISNUMBER($G39),ISNUMBER($F39)),IF($F39&lt;=$R39,$G39,$E39),$E39)*(1+IF($J39="Y",0,Assumptions!$B$3)),"")</f>
        <v/>
      </c>
      <c r="V39" s="7">
        <f>IF(ISNUMBER($E39),IF(AND(ISNUMBER($I39),ISNUMBER($H39)),IF($H39&lt;=$S39,$I39,IF(AND(ISNUMBER($G39),ISNUMBER($F39)),IF($F39&lt;=$S39,$G39,$E39),$E39)),IF(AND(ISNUMBER($G39),ISNUMBER($F39)),IF($F39&lt;=$S39,$G39,$E39),$E39))*(1+IF($J39="Y",0,Assumptions!$B$3)),"")</f>
        <v/>
      </c>
      <c r="W39" s="7">
        <f>IF(ISNUMBER($T39),$Q39*$T39/Assumptions!$B$4,"")</f>
        <v/>
      </c>
      <c r="X39" s="7">
        <f>IF(ISNUMBER($U39),$R39*$U39/Assumptions!$B$5,"")</f>
        <v/>
      </c>
      <c r="Y39" s="7">
        <f>IF(ISNUMBER($V39),$S39*$V39/Assumptions!$B$6,"")</f>
        <v/>
      </c>
      <c r="Z39" s="8">
        <f>$A39&amp;"|"&amp;IF(ISNUMBER($W39),TEXT($W39,"0.0000"),"x")&amp;"|"&amp;$L39</f>
        <v/>
      </c>
      <c r="AA39" s="8">
        <f>$A39&amp;"|"&amp;IF(ISNUMBER($Y39),TEXT($Y39,"0.0000"),"x")&amp;"|"&amp;$L39</f>
        <v/>
      </c>
    </row>
    <row r="40">
      <c r="A40" s="8" t="inlineStr">
        <is>
          <t>IC17</t>
        </is>
      </c>
      <c r="B40" s="8" t="inlineStr">
        <is>
          <t>element14 Australia</t>
        </is>
      </c>
      <c r="C40" s="8" t="inlineStr">
        <is>
          <t>AS6C62256-55PCN (Alliance Memory)</t>
        </is>
      </c>
      <c r="D40" s="12" t="n">
        <v>1</v>
      </c>
      <c r="E40" s="14" t="n">
        <v>18.51</v>
      </c>
      <c r="F40" s="12" t="n"/>
      <c r="G40" s="14" t="n"/>
      <c r="H40" s="12" t="n"/>
      <c r="I40" s="14" t="n"/>
      <c r="J40" s="12" t="inlineStr">
        <is>
          <t>N</t>
        </is>
      </c>
      <c r="K40" s="8" t="inlineStr">
        <is>
          <t>262 (UK stock, 3-5 business days); mfr lead 23 wk</t>
        </is>
      </c>
      <c r="L40" s="12" t="inlineStr">
        <is>
          <t>Y</t>
        </is>
      </c>
      <c r="M40" s="8" t="inlineStr">
        <is>
          <t>2026-10-24</t>
        </is>
      </c>
      <c r="N40" s="15" t="inlineStr">
        <is>
          <t>https://au.element14.com/alliance-memory-inc/as6c62256-55pcn/sram-256kbit-0-to-70deg-c-dip/dp/4260906</t>
        </is>
      </c>
      <c r="O40" s="8" t="inlineStr">
        <is>
          <t>PDIP-28 (600 mil). Price is 18.51 ex GST, 20.36 inc GST. The page shows only a 1+ price break.</t>
        </is>
      </c>
      <c r="P40" s="8">
        <f>IFERROR(VLOOKUP($A40,BOM!$A$2:$E$51,5,0),0)</f>
        <v/>
      </c>
      <c r="Q40" s="8">
        <f>CEILING($P40*Assumptions!$B$4/$D40,1)</f>
        <v/>
      </c>
      <c r="R40" s="8">
        <f>CEILING($P40*Assumptions!$B$5/$D40,1)</f>
        <v/>
      </c>
      <c r="S40" s="8">
        <f>CEILING($P40*Assumptions!$B$6/$D40,1)</f>
        <v/>
      </c>
      <c r="T40" s="7">
        <f>IF(ISNUMBER($E40),$E40*(1+IF($J40="Y",0,Assumptions!$B$3)),"")</f>
        <v/>
      </c>
      <c r="U40" s="7">
        <f>IF(ISNUMBER($E40),IF(AND(ISNUMBER($G40),ISNUMBER($F40)),IF($F40&lt;=$R40,$G40,$E40),$E40)*(1+IF($J40="Y",0,Assumptions!$B$3)),"")</f>
        <v/>
      </c>
      <c r="V40" s="7">
        <f>IF(ISNUMBER($E40),IF(AND(ISNUMBER($I40),ISNUMBER($H40)),IF($H40&lt;=$S40,$I40,IF(AND(ISNUMBER($G40),ISNUMBER($F40)),IF($F40&lt;=$S40,$G40,$E40),$E40)),IF(AND(ISNUMBER($G40),ISNUMBER($F40)),IF($F40&lt;=$S40,$G40,$E40),$E40))*(1+IF($J40="Y",0,Assumptions!$B$3)),"")</f>
        <v/>
      </c>
      <c r="W40" s="7">
        <f>IF(ISNUMBER($T40),$Q40*$T40/Assumptions!$B$4,"")</f>
        <v/>
      </c>
      <c r="X40" s="7">
        <f>IF(ISNUMBER($U40),$R40*$U40/Assumptions!$B$5,"")</f>
        <v/>
      </c>
      <c r="Y40" s="7">
        <f>IF(ISNUMBER($V40),$S40*$V40/Assumptions!$B$6,"")</f>
        <v/>
      </c>
      <c r="Z40" s="8">
        <f>$A40&amp;"|"&amp;IF(ISNUMBER($W40),TEXT($W40,"0.0000"),"x")&amp;"|"&amp;$L40</f>
        <v/>
      </c>
      <c r="AA40" s="8">
        <f>$A40&amp;"|"&amp;IF(ISNUMBER($Y40),TEXT($Y40,"0.0000"),"x")&amp;"|"&amp;$L40</f>
        <v/>
      </c>
    </row>
    <row r="41">
      <c r="A41" s="8" t="inlineStr">
        <is>
          <t>IC18</t>
        </is>
      </c>
      <c r="B41" s="8" t="inlineStr">
        <is>
          <t>Mouser Australia</t>
        </is>
      </c>
      <c r="C41" s="8" t="inlineStr">
        <is>
          <t>AT28C256-15PU (Microchip)</t>
        </is>
      </c>
      <c r="D41" s="12" t="n">
        <v>1</v>
      </c>
      <c r="E41" s="14" t="n">
        <v>17.95</v>
      </c>
      <c r="F41" s="12" t="n">
        <v>28</v>
      </c>
      <c r="G41" s="14" t="n">
        <v>17.28</v>
      </c>
      <c r="H41" s="12" t="n">
        <v>112</v>
      </c>
      <c r="I41" s="14" t="n">
        <v>16.6</v>
      </c>
      <c r="J41" s="12" t="inlineStr">
        <is>
          <t>N</t>
        </is>
      </c>
      <c r="K41" s="8" t="inlineStr">
        <is>
          <t>250 in stock; 952 on order due 30/10/2026; 8 wk factory lead</t>
        </is>
      </c>
      <c r="L41" s="12" t="inlineStr">
        <is>
          <t>Y</t>
        </is>
      </c>
      <c r="M41" s="8" t="inlineStr">
        <is>
          <t>2026-10-24</t>
        </is>
      </c>
      <c r="N41" s="15" t="inlineStr">
        <is>
          <t>https://au.mouser.com/ProductDetail/556-AT28C25615PU</t>
        </is>
      </c>
      <c r="O41" s="8" t="inlineStr">
        <is>
          <t>PDIP-28. In stock, so no alternative EEPROM is needed. Breaks are at 28 and 112. GST is not mentioned on the page, so ex-GST is assumed.</t>
        </is>
      </c>
      <c r="P41" s="8">
        <f>IFERROR(VLOOKUP($A41,BOM!$A$2:$E$51,5,0),0)</f>
        <v/>
      </c>
      <c r="Q41" s="8">
        <f>CEILING($P41*Assumptions!$B$4/$D41,1)</f>
        <v/>
      </c>
      <c r="R41" s="8">
        <f>CEILING($P41*Assumptions!$B$5/$D41,1)</f>
        <v/>
      </c>
      <c r="S41" s="8">
        <f>CEILING($P41*Assumptions!$B$6/$D41,1)</f>
        <v/>
      </c>
      <c r="T41" s="7">
        <f>IF(ISNUMBER($E41),$E41*(1+IF($J41="Y",0,Assumptions!$B$3)),"")</f>
        <v/>
      </c>
      <c r="U41" s="7">
        <f>IF(ISNUMBER($E41),IF(AND(ISNUMBER($G41),ISNUMBER($F41)),IF($F41&lt;=$R41,$G41,$E41),$E41)*(1+IF($J41="Y",0,Assumptions!$B$3)),"")</f>
        <v/>
      </c>
      <c r="V41" s="7">
        <f>IF(ISNUMBER($E41),IF(AND(ISNUMBER($I41),ISNUMBER($H41)),IF($H41&lt;=$S41,$I41,IF(AND(ISNUMBER($G41),ISNUMBER($F41)),IF($F41&lt;=$S41,$G41,$E41),$E41)),IF(AND(ISNUMBER($G41),ISNUMBER($F41)),IF($F41&lt;=$S41,$G41,$E41),$E41))*(1+IF($J41="Y",0,Assumptions!$B$3)),"")</f>
        <v/>
      </c>
      <c r="W41" s="7">
        <f>IF(ISNUMBER($T41),$Q41*$T41/Assumptions!$B$4,"")</f>
        <v/>
      </c>
      <c r="X41" s="7">
        <f>IF(ISNUMBER($U41),$R41*$U41/Assumptions!$B$5,"")</f>
        <v/>
      </c>
      <c r="Y41" s="7">
        <f>IF(ISNUMBER($V41),$S41*$V41/Assumptions!$B$6,"")</f>
        <v/>
      </c>
      <c r="Z41" s="8">
        <f>$A41&amp;"|"&amp;IF(ISNUMBER($W41),TEXT($W41,"0.0000"),"x")&amp;"|"&amp;$L41</f>
        <v/>
      </c>
      <c r="AA41" s="8">
        <f>$A41&amp;"|"&amp;IF(ISNUMBER($Y41),TEXT($Y41,"0.0000"),"x")&amp;"|"&amp;$L41</f>
        <v/>
      </c>
    </row>
    <row r="42">
      <c r="A42" s="8" t="inlineStr">
        <is>
          <t>IC18</t>
        </is>
      </c>
      <c r="B42" s="8" t="inlineStr">
        <is>
          <t>element14 Australia</t>
        </is>
      </c>
      <c r="C42" s="8" t="inlineStr">
        <is>
          <t>AT28C256-15PU (Microchip)</t>
        </is>
      </c>
      <c r="D42" s="12" t="n">
        <v>1</v>
      </c>
      <c r="E42" s="14" t="n">
        <v>18.31</v>
      </c>
      <c r="F42" s="12" t="n">
        <v>25</v>
      </c>
      <c r="G42" s="14" t="n">
        <v>17.95</v>
      </c>
      <c r="H42" s="12" t="n"/>
      <c r="I42" s="14" t="n"/>
      <c r="J42" s="12" t="inlineStr">
        <is>
          <t>N</t>
        </is>
      </c>
      <c r="K42" s="8" t="inlineStr">
        <is>
          <t>1,183 (UK stock, 3-5 business days); mfr lead 29 wk</t>
        </is>
      </c>
      <c r="L42" s="12" t="inlineStr">
        <is>
          <t>Y</t>
        </is>
      </c>
      <c r="M42" s="8" t="inlineStr">
        <is>
          <t>2026-10-24</t>
        </is>
      </c>
      <c r="N42" s="15" t="inlineStr">
        <is>
          <t>https://au.element14.com/microchip/at28c256-15pu/parallel-eeprom-256kbit-dip-28/dp/1095782</t>
        </is>
      </c>
      <c r="O42" s="8" t="inlineStr">
        <is>
          <t>PDIP-28. In stock. Price is 18.31 ex GST, 20.14 inc GST. The page shows only 1+ and 25+ breaks, so the 25+ break is recorded in the qty-10 field. A second order code, 2748829 (ATMEL brand), shows 62 units of US stock with breaks at 1+ 18.31, 10+ 17.95 and 100+ 16.85 ex GST.</t>
        </is>
      </c>
      <c r="P42" s="8">
        <f>IFERROR(VLOOKUP($A42,BOM!$A$2:$E$51,5,0),0)</f>
        <v/>
      </c>
      <c r="Q42" s="8">
        <f>CEILING($P42*Assumptions!$B$4/$D42,1)</f>
        <v/>
      </c>
      <c r="R42" s="8">
        <f>CEILING($P42*Assumptions!$B$5/$D42,1)</f>
        <v/>
      </c>
      <c r="S42" s="8">
        <f>CEILING($P42*Assumptions!$B$6/$D42,1)</f>
        <v/>
      </c>
      <c r="T42" s="7">
        <f>IF(ISNUMBER($E42),$E42*(1+IF($J42="Y",0,Assumptions!$B$3)),"")</f>
        <v/>
      </c>
      <c r="U42" s="7">
        <f>IF(ISNUMBER($E42),IF(AND(ISNUMBER($G42),ISNUMBER($F42)),IF($F42&lt;=$R42,$G42,$E42),$E42)*(1+IF($J42="Y",0,Assumptions!$B$3)),"")</f>
        <v/>
      </c>
      <c r="V42" s="7">
        <f>IF(ISNUMBER($E42),IF(AND(ISNUMBER($I42),ISNUMBER($H42)),IF($H42&lt;=$S42,$I42,IF(AND(ISNUMBER($G42),ISNUMBER($F42)),IF($F42&lt;=$S42,$G42,$E42),$E42)),IF(AND(ISNUMBER($G42),ISNUMBER($F42)),IF($F42&lt;=$S42,$G42,$E42),$E42))*(1+IF($J42="Y",0,Assumptions!$B$3)),"")</f>
        <v/>
      </c>
      <c r="W42" s="7">
        <f>IF(ISNUMBER($T42),$Q42*$T42/Assumptions!$B$4,"")</f>
        <v/>
      </c>
      <c r="X42" s="7">
        <f>IF(ISNUMBER($U42),$R42*$U42/Assumptions!$B$5,"")</f>
        <v/>
      </c>
      <c r="Y42" s="7">
        <f>IF(ISNUMBER($V42),$S42*$V42/Assumptions!$B$6,"")</f>
        <v/>
      </c>
      <c r="Z42" s="8">
        <f>$A42&amp;"|"&amp;IF(ISNUMBER($W42),TEXT($W42,"0.0000"),"x")&amp;"|"&amp;$L42</f>
        <v/>
      </c>
      <c r="AA42" s="8">
        <f>$A42&amp;"|"&amp;IF(ISNUMBER($Y42),TEXT($Y42,"0.0000"),"x")&amp;"|"&amp;$L42</f>
        <v/>
      </c>
    </row>
    <row r="43">
      <c r="A43" s="8" t="inlineStr">
        <is>
          <t>Q01</t>
        </is>
      </c>
      <c r="B43" s="8" t="inlineStr">
        <is>
          <t>Mouser Australia</t>
        </is>
      </c>
      <c r="C43" s="8" t="inlineStr">
        <is>
          <t>2N3906BU (512-2N3906BU)</t>
        </is>
      </c>
      <c r="D43" s="12" t="n">
        <v>1</v>
      </c>
      <c r="E43" s="14" t="n">
        <v>0.377</v>
      </c>
      <c r="F43" s="12" t="n">
        <v>10</v>
      </c>
      <c r="G43" s="14" t="n">
        <v>0.238</v>
      </c>
      <c r="H43" s="12" t="n">
        <v>100</v>
      </c>
      <c r="I43" s="14" t="n">
        <v>0.148</v>
      </c>
      <c r="J43" s="12" t="inlineStr">
        <is>
          <t>N</t>
        </is>
      </c>
      <c r="K43" s="8" t="inlineStr">
        <is>
          <t>58538</t>
        </is>
      </c>
      <c r="L43" s="12" t="inlineStr">
        <is>
          <t>Y</t>
        </is>
      </c>
      <c r="M43" s="8" t="inlineStr">
        <is>
          <t>2026-10-25</t>
        </is>
      </c>
      <c r="N43" s="15" t="inlineStr">
        <is>
          <t>https://au.mouser.com/c/?q=2N3906</t>
        </is>
      </c>
      <c r="O43" s="8" t="inlineStr">
        <is>
          <t>Mouser page states no GST treatment; treated as ex GST. onsemi TO-92 bulk.</t>
        </is>
      </c>
      <c r="P43" s="8">
        <f>IFERROR(VLOOKUP($A43,BOM!$A$2:$E$51,5,0),0)</f>
        <v/>
      </c>
      <c r="Q43" s="8">
        <f>CEILING($P43*Assumptions!$B$4/$D43,1)</f>
        <v/>
      </c>
      <c r="R43" s="8">
        <f>CEILING($P43*Assumptions!$B$5/$D43,1)</f>
        <v/>
      </c>
      <c r="S43" s="8">
        <f>CEILING($P43*Assumptions!$B$6/$D43,1)</f>
        <v/>
      </c>
      <c r="T43" s="7">
        <f>IF(ISNUMBER($E43),$E43*(1+IF($J43="Y",0,Assumptions!$B$3)),"")</f>
        <v/>
      </c>
      <c r="U43" s="7">
        <f>IF(ISNUMBER($E43),IF(AND(ISNUMBER($G43),ISNUMBER($F43)),IF($F43&lt;=$R43,$G43,$E43),$E43)*(1+IF($J43="Y",0,Assumptions!$B$3)),"")</f>
        <v/>
      </c>
      <c r="V43" s="7">
        <f>IF(ISNUMBER($E43),IF(AND(ISNUMBER($I43),ISNUMBER($H43)),IF($H43&lt;=$S43,$I43,IF(AND(ISNUMBER($G43),ISNUMBER($F43)),IF($F43&lt;=$S43,$G43,$E43),$E43)),IF(AND(ISNUMBER($G43),ISNUMBER($F43)),IF($F43&lt;=$S43,$G43,$E43),$E43))*(1+IF($J43="Y",0,Assumptions!$B$3)),"")</f>
        <v/>
      </c>
      <c r="W43" s="7">
        <f>IF(ISNUMBER($T43),$Q43*$T43/Assumptions!$B$4,"")</f>
        <v/>
      </c>
      <c r="X43" s="7">
        <f>IF(ISNUMBER($U43),$R43*$U43/Assumptions!$B$5,"")</f>
        <v/>
      </c>
      <c r="Y43" s="7">
        <f>IF(ISNUMBER($V43),$S43*$V43/Assumptions!$B$6,"")</f>
        <v/>
      </c>
      <c r="Z43" s="8">
        <f>$A43&amp;"|"&amp;IF(ISNUMBER($W43),TEXT($W43,"0.0000"),"x")&amp;"|"&amp;$L43</f>
        <v/>
      </c>
      <c r="AA43" s="8">
        <f>$A43&amp;"|"&amp;IF(ISNUMBER($Y43),TEXT($Y43,"0.0000"),"x")&amp;"|"&amp;$L43</f>
        <v/>
      </c>
    </row>
    <row r="44">
      <c r="A44" s="8" t="inlineStr">
        <is>
          <t>Q01</t>
        </is>
      </c>
      <c r="B44" s="8" t="inlineStr">
        <is>
          <t>element14 Australia</t>
        </is>
      </c>
      <c r="C44" s="8" t="inlineStr">
        <is>
          <t>2N3906BU (order code 2453313)</t>
        </is>
      </c>
      <c r="D44" s="12" t="n">
        <v>1</v>
      </c>
      <c r="E44" s="14" t="n">
        <v>0.386</v>
      </c>
      <c r="F44" s="12" t="n">
        <v>10</v>
      </c>
      <c r="G44" s="14" t="n">
        <v>0.243</v>
      </c>
      <c r="H44" s="12" t="n">
        <v>100</v>
      </c>
      <c r="I44" s="14" t="n">
        <v>0.151</v>
      </c>
      <c r="J44" s="12" t="inlineStr">
        <is>
          <t>N</t>
        </is>
      </c>
      <c r="K44" s="8" t="inlineStr">
        <is>
          <t>33373 (+20000 incoming)</t>
        </is>
      </c>
      <c r="L44" s="12" t="inlineStr">
        <is>
          <t>Y</t>
        </is>
      </c>
      <c r="M44" s="8" t="inlineStr">
        <is>
          <t>2026-10-25</t>
        </is>
      </c>
      <c r="N44" s="15" t="inlineStr">
        <is>
          <t>https://au.element14.com/w/search?st=2N3906BU</t>
        </is>
      </c>
      <c r="O44" s="8" t="inlineStr">
        <is>
          <t>element14 shows ex GST with incl-GST in brackets; ex-GST figures recorded. Min order 5, multiple 5; q1 field is the 5+ price.</t>
        </is>
      </c>
      <c r="P44" s="8">
        <f>IFERROR(VLOOKUP($A44,BOM!$A$2:$E$51,5,0),0)</f>
        <v/>
      </c>
      <c r="Q44" s="8">
        <f>CEILING($P44*Assumptions!$B$4/$D44,1)</f>
        <v/>
      </c>
      <c r="R44" s="8">
        <f>CEILING($P44*Assumptions!$B$5/$D44,1)</f>
        <v/>
      </c>
      <c r="S44" s="8">
        <f>CEILING($P44*Assumptions!$B$6/$D44,1)</f>
        <v/>
      </c>
      <c r="T44" s="7">
        <f>IF(ISNUMBER($E44),$E44*(1+IF($J44="Y",0,Assumptions!$B$3)),"")</f>
        <v/>
      </c>
      <c r="U44" s="7">
        <f>IF(ISNUMBER($E44),IF(AND(ISNUMBER($G44),ISNUMBER($F44)),IF($F44&lt;=$R44,$G44,$E44),$E44)*(1+IF($J44="Y",0,Assumptions!$B$3)),"")</f>
        <v/>
      </c>
      <c r="V44" s="7">
        <f>IF(ISNUMBER($E44),IF(AND(ISNUMBER($I44),ISNUMBER($H44)),IF($H44&lt;=$S44,$I44,IF(AND(ISNUMBER($G44),ISNUMBER($F44)),IF($F44&lt;=$S44,$G44,$E44),$E44)),IF(AND(ISNUMBER($G44),ISNUMBER($F44)),IF($F44&lt;=$S44,$G44,$E44),$E44))*(1+IF($J44="Y",0,Assumptions!$B$3)),"")</f>
        <v/>
      </c>
      <c r="W44" s="7">
        <f>IF(ISNUMBER($T44),$Q44*$T44/Assumptions!$B$4,"")</f>
        <v/>
      </c>
      <c r="X44" s="7">
        <f>IF(ISNUMBER($U44),$R44*$U44/Assumptions!$B$5,"")</f>
        <v/>
      </c>
      <c r="Y44" s="7">
        <f>IF(ISNUMBER($V44),$S44*$V44/Assumptions!$B$6,"")</f>
        <v/>
      </c>
      <c r="Z44" s="8">
        <f>$A44&amp;"|"&amp;IF(ISNUMBER($W44),TEXT($W44,"0.0000"),"x")&amp;"|"&amp;$L44</f>
        <v/>
      </c>
      <c r="AA44" s="8">
        <f>$A44&amp;"|"&amp;IF(ISNUMBER($Y44),TEXT($Y44,"0.0000"),"x")&amp;"|"&amp;$L44</f>
        <v/>
      </c>
    </row>
    <row r="45">
      <c r="A45" s="8" t="inlineStr">
        <is>
          <t>DS2</t>
        </is>
      </c>
      <c r="B45" s="8" t="inlineStr">
        <is>
          <t>Mouser Australia</t>
        </is>
      </c>
      <c r="C45" s="8" t="inlineStr">
        <is>
          <t>SA56-11EWA (604-SA5611EWA)</t>
        </is>
      </c>
      <c r="D45" s="12" t="n">
        <v>1</v>
      </c>
      <c r="E45" s="14" t="n">
        <v>3.52</v>
      </c>
      <c r="F45" s="12" t="n">
        <v>10</v>
      </c>
      <c r="G45" s="14" t="n">
        <v>2.33</v>
      </c>
      <c r="H45" s="12" t="n">
        <v>120</v>
      </c>
      <c r="I45" s="14" t="n">
        <v>1.91</v>
      </c>
      <c r="J45" s="12" t="inlineStr">
        <is>
          <t>N</t>
        </is>
      </c>
      <c r="K45" s="8" t="inlineStr">
        <is>
          <t>1586 (+3240 on order)</t>
        </is>
      </c>
      <c r="L45" s="12" t="inlineStr">
        <is>
          <t>Y</t>
        </is>
      </c>
      <c r="M45" s="8" t="inlineStr">
        <is>
          <t>2026-10-25</t>
        </is>
      </c>
      <c r="N45" s="15" t="inlineStr">
        <is>
          <t>https://au.mouser.com/c/?q=SA56-11EWA</t>
        </is>
      </c>
      <c r="O45" s="8" t="inlineStr">
        <is>
          <t>Mouser page states no GST treatment; treated as ex GST. Kingbright 0.56 in single digit, COMMON ANODE, red. Page showed a stock-panel error.</t>
        </is>
      </c>
      <c r="P45" s="8">
        <f>IFERROR(VLOOKUP($A45,BOM!$A$2:$E$51,5,0),0)</f>
        <v/>
      </c>
      <c r="Q45" s="8">
        <f>CEILING($P45*Assumptions!$B$4/$D45,1)</f>
        <v/>
      </c>
      <c r="R45" s="8">
        <f>CEILING($P45*Assumptions!$B$5/$D45,1)</f>
        <v/>
      </c>
      <c r="S45" s="8">
        <f>CEILING($P45*Assumptions!$B$6/$D45,1)</f>
        <v/>
      </c>
      <c r="T45" s="7">
        <f>IF(ISNUMBER($E45),$E45*(1+IF($J45="Y",0,Assumptions!$B$3)),"")</f>
        <v/>
      </c>
      <c r="U45" s="7">
        <f>IF(ISNUMBER($E45),IF(AND(ISNUMBER($G45),ISNUMBER($F45)),IF($F45&lt;=$R45,$G45,$E45),$E45)*(1+IF($J45="Y",0,Assumptions!$B$3)),"")</f>
        <v/>
      </c>
      <c r="V45" s="7">
        <f>IF(ISNUMBER($E45),IF(AND(ISNUMBER($I45),ISNUMBER($H45)),IF($H45&lt;=$S45,$I45,IF(AND(ISNUMBER($G45),ISNUMBER($F45)),IF($F45&lt;=$S45,$G45,$E45),$E45)),IF(AND(ISNUMBER($G45),ISNUMBER($F45)),IF($F45&lt;=$S45,$G45,$E45),$E45))*(1+IF($J45="Y",0,Assumptions!$B$3)),"")</f>
        <v/>
      </c>
      <c r="W45" s="7">
        <f>IF(ISNUMBER($T45),$Q45*$T45/Assumptions!$B$4,"")</f>
        <v/>
      </c>
      <c r="X45" s="7">
        <f>IF(ISNUMBER($U45),$R45*$U45/Assumptions!$B$5,"")</f>
        <v/>
      </c>
      <c r="Y45" s="7">
        <f>IF(ISNUMBER($V45),$S45*$V45/Assumptions!$B$6,"")</f>
        <v/>
      </c>
      <c r="Z45" s="8">
        <f>$A45&amp;"|"&amp;IF(ISNUMBER($W45),TEXT($W45,"0.0000"),"x")&amp;"|"&amp;$L45</f>
        <v/>
      </c>
      <c r="AA45" s="8">
        <f>$A45&amp;"|"&amp;IF(ISNUMBER($Y45),TEXT($Y45,"0.0000"),"x")&amp;"|"&amp;$L45</f>
        <v/>
      </c>
    </row>
    <row r="46">
      <c r="A46" s="8" t="inlineStr">
        <is>
          <t>DS2</t>
        </is>
      </c>
      <c r="B46" s="8" t="inlineStr">
        <is>
          <t>element14 Australia</t>
        </is>
      </c>
      <c r="C46" s="8" t="inlineStr">
        <is>
          <t>SA56-11EWA (order code 1142440)</t>
        </is>
      </c>
      <c r="D46" s="12" t="n">
        <v>1</v>
      </c>
      <c r="E46" s="14" t="n">
        <v>3.31</v>
      </c>
      <c r="F46" s="12" t="n">
        <v>10</v>
      </c>
      <c r="G46" s="14" t="n">
        <v>2.35</v>
      </c>
      <c r="H46" s="12" t="n">
        <v>100</v>
      </c>
      <c r="I46" s="14" t="n">
        <v>1.81</v>
      </c>
      <c r="J46" s="12" t="inlineStr">
        <is>
          <t>N</t>
        </is>
      </c>
      <c r="K46" s="8" t="inlineStr">
        <is>
          <t>not shown per item</t>
        </is>
      </c>
      <c r="L46" s="12" t="inlineStr">
        <is>
          <t>Y</t>
        </is>
      </c>
      <c r="M46" s="8" t="inlineStr">
        <is>
          <t>2026-10-25</t>
        </is>
      </c>
      <c r="N46" s="15" t="inlineStr">
        <is>
          <t>https://au.element14.com/w/search?st=SA56-11EWA</t>
        </is>
      </c>
      <c r="O46" s="8" t="inlineStr">
        <is>
          <t>element14 shows ex GST with incl-GST in brackets; ex-GST figures recorded. Common anode, 14.22 mm (0.56 in), 1 digit. Min 5; q1 field is 5+ price. Core Electronics alt: SparkFun COM-08546 CA red $3.25 inc GST, stock unclear, page says 0.6 in digit height.</t>
        </is>
      </c>
      <c r="P46" s="8">
        <f>IFERROR(VLOOKUP($A46,BOM!$A$2:$E$51,5,0),0)</f>
        <v/>
      </c>
      <c r="Q46" s="8">
        <f>CEILING($P46*Assumptions!$B$4/$D46,1)</f>
        <v/>
      </c>
      <c r="R46" s="8">
        <f>CEILING($P46*Assumptions!$B$5/$D46,1)</f>
        <v/>
      </c>
      <c r="S46" s="8">
        <f>CEILING($P46*Assumptions!$B$6/$D46,1)</f>
        <v/>
      </c>
      <c r="T46" s="7">
        <f>IF(ISNUMBER($E46),$E46*(1+IF($J46="Y",0,Assumptions!$B$3)),"")</f>
        <v/>
      </c>
      <c r="U46" s="7">
        <f>IF(ISNUMBER($E46),IF(AND(ISNUMBER($G46),ISNUMBER($F46)),IF($F46&lt;=$R46,$G46,$E46),$E46)*(1+IF($J46="Y",0,Assumptions!$B$3)),"")</f>
        <v/>
      </c>
      <c r="V46" s="7">
        <f>IF(ISNUMBER($E46),IF(AND(ISNUMBER($I46),ISNUMBER($H46)),IF($H46&lt;=$S46,$I46,IF(AND(ISNUMBER($G46),ISNUMBER($F46)),IF($F46&lt;=$S46,$G46,$E46),$E46)),IF(AND(ISNUMBER($G46),ISNUMBER($F46)),IF($F46&lt;=$S46,$G46,$E46),$E46))*(1+IF($J46="Y",0,Assumptions!$B$3)),"")</f>
        <v/>
      </c>
      <c r="W46" s="7">
        <f>IF(ISNUMBER($T46),$Q46*$T46/Assumptions!$B$4,"")</f>
        <v/>
      </c>
      <c r="X46" s="7">
        <f>IF(ISNUMBER($U46),$R46*$U46/Assumptions!$B$5,"")</f>
        <v/>
      </c>
      <c r="Y46" s="7">
        <f>IF(ISNUMBER($V46),$S46*$V46/Assumptions!$B$6,"")</f>
        <v/>
      </c>
      <c r="Z46" s="8">
        <f>$A46&amp;"|"&amp;IF(ISNUMBER($W46),TEXT($W46,"0.0000"),"x")&amp;"|"&amp;$L46</f>
        <v/>
      </c>
      <c r="AA46" s="8">
        <f>$A46&amp;"|"&amp;IF(ISNUMBER($Y46),TEXT($Y46,"0.0000"),"x")&amp;"|"&amp;$L46</f>
        <v/>
      </c>
    </row>
    <row r="47">
      <c r="A47" s="8" t="inlineStr">
        <is>
          <t>LED1</t>
        </is>
      </c>
      <c r="B47" s="8" t="inlineStr">
        <is>
          <t>Core Electronics</t>
        </is>
      </c>
      <c r="C47" s="8" t="inlineStr">
        <is>
          <t>COM-00533</t>
        </is>
      </c>
      <c r="D47" s="12" t="n">
        <v>1</v>
      </c>
      <c r="E47" s="14" t="n">
        <v>0.85</v>
      </c>
      <c r="F47" s="12" t="n">
        <v>5</v>
      </c>
      <c r="G47" s="14" t="n">
        <v>0.82</v>
      </c>
      <c r="H47" s="12" t="n">
        <v>100</v>
      </c>
      <c r="I47" s="14" t="n">
        <v>0.77</v>
      </c>
      <c r="J47" s="12" t="inlineStr">
        <is>
          <t>N</t>
        </is>
      </c>
      <c r="K47" s="8" t="inlineStr">
        <is>
          <t>lead time, dispatch Oct 28-Nov 03</t>
        </is>
      </c>
      <c r="L47" s="12" t="inlineStr">
        <is>
          <t>Y</t>
        </is>
      </c>
      <c r="M47" s="8" t="inlineStr">
        <is>
          <t>2026-10-24</t>
        </is>
      </c>
      <c r="N47" s="15" t="inlineStr">
        <is>
          <t>https://core-electronics.com.au/led-basic-red-3mm.html</t>
        </is>
      </c>
      <c r="O47" s="8" t="inlineStr">
        <is>
          <t>SparkFun basic red 3 mm, single. Breaks: 5+ 0.82, 25+ 0.80, 100+ 0.77. 25-pack ADA777 is $9.05 ex GST but out of stock. Core Electronics: q1 and breaks recorded ex GST (page shows q1 inc GST as well).</t>
        </is>
      </c>
      <c r="P47" s="8">
        <f>IFERROR(VLOOKUP($A47,BOM!$A$2:$E$51,5,0),0)</f>
        <v/>
      </c>
      <c r="Q47" s="8">
        <f>CEILING($P47*Assumptions!$B$4/$D47,1)</f>
        <v/>
      </c>
      <c r="R47" s="8">
        <f>CEILING($P47*Assumptions!$B$5/$D47,1)</f>
        <v/>
      </c>
      <c r="S47" s="8">
        <f>CEILING($P47*Assumptions!$B$6/$D47,1)</f>
        <v/>
      </c>
      <c r="T47" s="7">
        <f>IF(ISNUMBER($E47),$E47*(1+IF($J47="Y",0,Assumptions!$B$3)),"")</f>
        <v/>
      </c>
      <c r="U47" s="7">
        <f>IF(ISNUMBER($E47),IF(AND(ISNUMBER($G47),ISNUMBER($F47)),IF($F47&lt;=$R47,$G47,$E47),$E47)*(1+IF($J47="Y",0,Assumptions!$B$3)),"")</f>
        <v/>
      </c>
      <c r="V47" s="7">
        <f>IF(ISNUMBER($E47),IF(AND(ISNUMBER($I47),ISNUMBER($H47)),IF($H47&lt;=$S47,$I47,IF(AND(ISNUMBER($G47),ISNUMBER($F47)),IF($F47&lt;=$S47,$G47,$E47),$E47)),IF(AND(ISNUMBER($G47),ISNUMBER($F47)),IF($F47&lt;=$S47,$G47,$E47),$E47))*(1+IF($J47="Y",0,Assumptions!$B$3)),"")</f>
        <v/>
      </c>
      <c r="W47" s="7">
        <f>IF(ISNUMBER($T47),$Q47*$T47/Assumptions!$B$4,"")</f>
        <v/>
      </c>
      <c r="X47" s="7">
        <f>IF(ISNUMBER($U47),$R47*$U47/Assumptions!$B$5,"")</f>
        <v/>
      </c>
      <c r="Y47" s="7">
        <f>IF(ISNUMBER($V47),$S47*$V47/Assumptions!$B$6,"")</f>
        <v/>
      </c>
      <c r="Z47" s="8">
        <f>$A47&amp;"|"&amp;IF(ISNUMBER($W47),TEXT($W47,"0.0000"),"x")&amp;"|"&amp;$L47</f>
        <v/>
      </c>
      <c r="AA47" s="8">
        <f>$A47&amp;"|"&amp;IF(ISNUMBER($Y47),TEXT($Y47,"0.0000"),"x")&amp;"|"&amp;$L47</f>
        <v/>
      </c>
    </row>
    <row r="48">
      <c r="A48" s="8" t="inlineStr">
        <is>
          <t>LED1</t>
        </is>
      </c>
      <c r="B48" s="8" t="inlineStr">
        <is>
          <t>element14 Australia</t>
        </is>
      </c>
      <c r="C48" s="8" t="inlineStr">
        <is>
          <t>2112100 / MPN 703-0090</t>
        </is>
      </c>
      <c r="D48" s="12" t="n">
        <v>1</v>
      </c>
      <c r="E48" s="14" t="n">
        <v>0.483</v>
      </c>
      <c r="F48" s="12" t="n">
        <v>10</v>
      </c>
      <c r="G48" s="14" t="n">
        <v>0.352</v>
      </c>
      <c r="H48" s="12" t="n">
        <v>100</v>
      </c>
      <c r="I48" s="14" t="n">
        <v>0.268</v>
      </c>
      <c r="J48" s="12" t="inlineStr">
        <is>
          <t>N</t>
        </is>
      </c>
      <c r="K48" s="8" t="inlineStr">
        <is>
          <t>5,411 (UK)</t>
        </is>
      </c>
      <c r="L48" s="12" t="inlineStr">
        <is>
          <t>Y</t>
        </is>
      </c>
      <c r="M48" s="8" t="inlineStr">
        <is>
          <t>2026-10-24</t>
        </is>
      </c>
      <c r="N48" s="15" t="inlineStr">
        <is>
          <t>https://au.element14.com/multicomp-pro/703-0090/led-3mm-red-100mcd-643nm/dp/2112100</t>
        </is>
      </c>
      <c r="O48" s="8" t="inlineStr">
        <is>
          <t>Multicomp Pro 3 mm red THT. Min 5, multiple 5; q1 is the 5+ unit price. element14 AU per-unit price ex GST (page also shows incl GST = +10%); ships from UK stock 3-5 business days.</t>
        </is>
      </c>
      <c r="P48" s="8">
        <f>IFERROR(VLOOKUP($A48,BOM!$A$2:$E$51,5,0),0)</f>
        <v/>
      </c>
      <c r="Q48" s="8">
        <f>CEILING($P48*Assumptions!$B$4/$D48,1)</f>
        <v/>
      </c>
      <c r="R48" s="8">
        <f>CEILING($P48*Assumptions!$B$5/$D48,1)</f>
        <v/>
      </c>
      <c r="S48" s="8">
        <f>CEILING($P48*Assumptions!$B$6/$D48,1)</f>
        <v/>
      </c>
      <c r="T48" s="7">
        <f>IF(ISNUMBER($E48),$E48*(1+IF($J48="Y",0,Assumptions!$B$3)),"")</f>
        <v/>
      </c>
      <c r="U48" s="7">
        <f>IF(ISNUMBER($E48),IF(AND(ISNUMBER($G48),ISNUMBER($F48)),IF($F48&lt;=$R48,$G48,$E48),$E48)*(1+IF($J48="Y",0,Assumptions!$B$3)),"")</f>
        <v/>
      </c>
      <c r="V48" s="7">
        <f>IF(ISNUMBER($E48),IF(AND(ISNUMBER($I48),ISNUMBER($H48)),IF($H48&lt;=$S48,$I48,IF(AND(ISNUMBER($G48),ISNUMBER($F48)),IF($F48&lt;=$S48,$G48,$E48),$E48)),IF(AND(ISNUMBER($G48),ISNUMBER($F48)),IF($F48&lt;=$S48,$G48,$E48),$E48))*(1+IF($J48="Y",0,Assumptions!$B$3)),"")</f>
        <v/>
      </c>
      <c r="W48" s="7">
        <f>IF(ISNUMBER($T48),$Q48*$T48/Assumptions!$B$4,"")</f>
        <v/>
      </c>
      <c r="X48" s="7">
        <f>IF(ISNUMBER($U48),$R48*$U48/Assumptions!$B$5,"")</f>
        <v/>
      </c>
      <c r="Y48" s="7">
        <f>IF(ISNUMBER($V48),$S48*$V48/Assumptions!$B$6,"")</f>
        <v/>
      </c>
      <c r="Z48" s="8">
        <f>$A48&amp;"|"&amp;IF(ISNUMBER($W48),TEXT($W48,"0.0000"),"x")&amp;"|"&amp;$L48</f>
        <v/>
      </c>
      <c r="AA48" s="8">
        <f>$A48&amp;"|"&amp;IF(ISNUMBER($Y48),TEXT($Y48,"0.0000"),"x")&amp;"|"&amp;$L48</f>
        <v/>
      </c>
    </row>
    <row r="49">
      <c r="A49" s="8" t="inlineStr">
        <is>
          <t>LED2</t>
        </is>
      </c>
      <c r="B49" s="8" t="inlineStr">
        <is>
          <t>Core Electronics</t>
        </is>
      </c>
      <c r="C49" s="8" t="inlineStr">
        <is>
          <t>COM-09650</t>
        </is>
      </c>
      <c r="D49" s="12" t="n">
        <v>1</v>
      </c>
      <c r="E49" s="14" t="n">
        <v>0.85</v>
      </c>
      <c r="F49" s="12" t="n">
        <v>5</v>
      </c>
      <c r="G49" s="14" t="n">
        <v>0.82</v>
      </c>
      <c r="H49" s="12" t="n">
        <v>100</v>
      </c>
      <c r="I49" s="14" t="n">
        <v>0.77</v>
      </c>
      <c r="J49" s="12" t="inlineStr">
        <is>
          <t>N</t>
        </is>
      </c>
      <c r="K49" s="8" t="inlineStr">
        <is>
          <t>not in stock; lead time, dispatch Oct 28-Nov 03</t>
        </is>
      </c>
      <c r="L49" s="12" t="inlineStr">
        <is>
          <t>Y</t>
        </is>
      </c>
      <c r="M49" s="8" t="inlineStr">
        <is>
          <t>2026-10-24</t>
        </is>
      </c>
      <c r="N49" s="15" t="inlineStr">
        <is>
          <t>https://core-electronics.com.au/led-basic-green-3mm.html</t>
        </is>
      </c>
      <c r="O49" s="8" t="inlineStr">
        <is>
          <t>SparkFun basic green 3 mm. Breaks 5+/25+/100+ = 0.82/0.80/0.77. Core Electronics: q1 and breaks recorded ex GST (page shows q1 inc GST as well).</t>
        </is>
      </c>
      <c r="P49" s="8">
        <f>IFERROR(VLOOKUP($A49,BOM!$A$2:$E$51,5,0),0)</f>
        <v/>
      </c>
      <c r="Q49" s="8">
        <f>CEILING($P49*Assumptions!$B$4/$D49,1)</f>
        <v/>
      </c>
      <c r="R49" s="8">
        <f>CEILING($P49*Assumptions!$B$5/$D49,1)</f>
        <v/>
      </c>
      <c r="S49" s="8">
        <f>CEILING($P49*Assumptions!$B$6/$D49,1)</f>
        <v/>
      </c>
      <c r="T49" s="7">
        <f>IF(ISNUMBER($E49),$E49*(1+IF($J49="Y",0,Assumptions!$B$3)),"")</f>
        <v/>
      </c>
      <c r="U49" s="7">
        <f>IF(ISNUMBER($E49),IF(AND(ISNUMBER($G49),ISNUMBER($F49)),IF($F49&lt;=$R49,$G49,$E49),$E49)*(1+IF($J49="Y",0,Assumptions!$B$3)),"")</f>
        <v/>
      </c>
      <c r="V49" s="7">
        <f>IF(ISNUMBER($E49),IF(AND(ISNUMBER($I49),ISNUMBER($H49)),IF($H49&lt;=$S49,$I49,IF(AND(ISNUMBER($G49),ISNUMBER($F49)),IF($F49&lt;=$S49,$G49,$E49),$E49)),IF(AND(ISNUMBER($G49),ISNUMBER($F49)),IF($F49&lt;=$S49,$G49,$E49),$E49))*(1+IF($J49="Y",0,Assumptions!$B$3)),"")</f>
        <v/>
      </c>
      <c r="W49" s="7">
        <f>IF(ISNUMBER($T49),$Q49*$T49/Assumptions!$B$4,"")</f>
        <v/>
      </c>
      <c r="X49" s="7">
        <f>IF(ISNUMBER($U49),$R49*$U49/Assumptions!$B$5,"")</f>
        <v/>
      </c>
      <c r="Y49" s="7">
        <f>IF(ISNUMBER($V49),$S49*$V49/Assumptions!$B$6,"")</f>
        <v/>
      </c>
      <c r="Z49" s="8">
        <f>$A49&amp;"|"&amp;IF(ISNUMBER($W49),TEXT($W49,"0.0000"),"x")&amp;"|"&amp;$L49</f>
        <v/>
      </c>
      <c r="AA49" s="8">
        <f>$A49&amp;"|"&amp;IF(ISNUMBER($Y49),TEXT($Y49,"0.0000"),"x")&amp;"|"&amp;$L49</f>
        <v/>
      </c>
    </row>
    <row r="50">
      <c r="A50" s="8" t="inlineStr">
        <is>
          <t>LED2</t>
        </is>
      </c>
      <c r="B50" s="8" t="inlineStr">
        <is>
          <t>element14 Australia</t>
        </is>
      </c>
      <c r="C50" s="8" t="inlineStr">
        <is>
          <t>2112096 / MPN 703-0087</t>
        </is>
      </c>
      <c r="D50" s="12" t="n">
        <v>1</v>
      </c>
      <c r="E50" s="14" t="n">
        <v>0.409</v>
      </c>
      <c r="F50" s="12" t="n">
        <v>10</v>
      </c>
      <c r="G50" s="14" t="n">
        <v>0.284</v>
      </c>
      <c r="H50" s="12" t="n">
        <v>100</v>
      </c>
      <c r="I50" s="14" t="n">
        <v>0.2</v>
      </c>
      <c r="J50" s="12" t="inlineStr">
        <is>
          <t>N</t>
        </is>
      </c>
      <c r="K50" s="8" t="inlineStr">
        <is>
          <t>7,754 (UK) + 10,000 incoming</t>
        </is>
      </c>
      <c r="L50" s="12" t="inlineStr">
        <is>
          <t>Y</t>
        </is>
      </c>
      <c r="M50" s="8" t="inlineStr">
        <is>
          <t>2026-10-24</t>
        </is>
      </c>
      <c r="N50" s="15" t="inlineStr">
        <is>
          <t>https://au.element14.com/multicomp/703-0087/led-green-3mm-572nm-standard/dp/2112096</t>
        </is>
      </c>
      <c r="O50" s="8" t="inlineStr">
        <is>
          <t>Multicomp Pro 3 mm green THT. Min 5, multiple 5. element14 AU per-unit price ex GST (page also shows incl GST = +10%); ships from UK stock 3-5 business days.</t>
        </is>
      </c>
      <c r="P50" s="8">
        <f>IFERROR(VLOOKUP($A50,BOM!$A$2:$E$51,5,0),0)</f>
        <v/>
      </c>
      <c r="Q50" s="8">
        <f>CEILING($P50*Assumptions!$B$4/$D50,1)</f>
        <v/>
      </c>
      <c r="R50" s="8">
        <f>CEILING($P50*Assumptions!$B$5/$D50,1)</f>
        <v/>
      </c>
      <c r="S50" s="8">
        <f>CEILING($P50*Assumptions!$B$6/$D50,1)</f>
        <v/>
      </c>
      <c r="T50" s="7">
        <f>IF(ISNUMBER($E50),$E50*(1+IF($J50="Y",0,Assumptions!$B$3)),"")</f>
        <v/>
      </c>
      <c r="U50" s="7">
        <f>IF(ISNUMBER($E50),IF(AND(ISNUMBER($G50),ISNUMBER($F50)),IF($F50&lt;=$R50,$G50,$E50),$E50)*(1+IF($J50="Y",0,Assumptions!$B$3)),"")</f>
        <v/>
      </c>
      <c r="V50" s="7">
        <f>IF(ISNUMBER($E50),IF(AND(ISNUMBER($I50),ISNUMBER($H50)),IF($H50&lt;=$S50,$I50,IF(AND(ISNUMBER($G50),ISNUMBER($F50)),IF($F50&lt;=$S50,$G50,$E50),$E50)),IF(AND(ISNUMBER($G50),ISNUMBER($F50)),IF($F50&lt;=$S50,$G50,$E50),$E50))*(1+IF($J50="Y",0,Assumptions!$B$3)),"")</f>
        <v/>
      </c>
      <c r="W50" s="7">
        <f>IF(ISNUMBER($T50),$Q50*$T50/Assumptions!$B$4,"")</f>
        <v/>
      </c>
      <c r="X50" s="7">
        <f>IF(ISNUMBER($U50),$R50*$U50/Assumptions!$B$5,"")</f>
        <v/>
      </c>
      <c r="Y50" s="7">
        <f>IF(ISNUMBER($V50),$S50*$V50/Assumptions!$B$6,"")</f>
        <v/>
      </c>
      <c r="Z50" s="8">
        <f>$A50&amp;"|"&amp;IF(ISNUMBER($W50),TEXT($W50,"0.0000"),"x")&amp;"|"&amp;$L50</f>
        <v/>
      </c>
      <c r="AA50" s="8">
        <f>$A50&amp;"|"&amp;IF(ISNUMBER($Y50),TEXT($Y50,"0.0000"),"x")&amp;"|"&amp;$L50</f>
        <v/>
      </c>
    </row>
    <row r="51">
      <c r="A51" s="8" t="inlineStr">
        <is>
          <t>LED3</t>
        </is>
      </c>
      <c r="B51" s="8" t="inlineStr">
        <is>
          <t>Core Electronics</t>
        </is>
      </c>
      <c r="C51" s="8" t="inlineStr">
        <is>
          <t>COM-00532</t>
        </is>
      </c>
      <c r="D51" s="12" t="n">
        <v>1</v>
      </c>
      <c r="E51" s="14" t="n">
        <v>0.78</v>
      </c>
      <c r="F51" s="12" t="n">
        <v>5</v>
      </c>
      <c r="G51" s="14" t="n">
        <v>0.75</v>
      </c>
      <c r="H51" s="12" t="n">
        <v>100</v>
      </c>
      <c r="I51" s="14" t="n">
        <v>0.71</v>
      </c>
      <c r="J51" s="12" t="inlineStr">
        <is>
          <t>N</t>
        </is>
      </c>
      <c r="K51" s="8" t="inlineStr">
        <is>
          <t>lead time, dispatch Oct 29-Nov 04</t>
        </is>
      </c>
      <c r="L51" s="12" t="inlineStr">
        <is>
          <t>Y</t>
        </is>
      </c>
      <c r="M51" s="8" t="inlineStr">
        <is>
          <t>2026-10-24</t>
        </is>
      </c>
      <c r="N51" s="15" t="inlineStr">
        <is>
          <t>https://core-electronics.com.au/led-basic-yellow-3mm.html</t>
        </is>
      </c>
      <c r="O51" s="8" t="inlineStr">
        <is>
          <t>SparkFun basic yellow 3 mm. Breaks 5+/25+/100+ = 0.75/0.75/0.71. Core Electronics: q1 and breaks recorded ex GST (page shows q1 inc GST as well).</t>
        </is>
      </c>
      <c r="P51" s="8">
        <f>IFERROR(VLOOKUP($A51,BOM!$A$2:$E$51,5,0),0)</f>
        <v/>
      </c>
      <c r="Q51" s="8">
        <f>CEILING($P51*Assumptions!$B$4/$D51,1)</f>
        <v/>
      </c>
      <c r="R51" s="8">
        <f>CEILING($P51*Assumptions!$B$5/$D51,1)</f>
        <v/>
      </c>
      <c r="S51" s="8">
        <f>CEILING($P51*Assumptions!$B$6/$D51,1)</f>
        <v/>
      </c>
      <c r="T51" s="7">
        <f>IF(ISNUMBER($E51),$E51*(1+IF($J51="Y",0,Assumptions!$B$3)),"")</f>
        <v/>
      </c>
      <c r="U51" s="7">
        <f>IF(ISNUMBER($E51),IF(AND(ISNUMBER($G51),ISNUMBER($F51)),IF($F51&lt;=$R51,$G51,$E51),$E51)*(1+IF($J51="Y",0,Assumptions!$B$3)),"")</f>
        <v/>
      </c>
      <c r="V51" s="7">
        <f>IF(ISNUMBER($E51),IF(AND(ISNUMBER($I51),ISNUMBER($H51)),IF($H51&lt;=$S51,$I51,IF(AND(ISNUMBER($G51),ISNUMBER($F51)),IF($F51&lt;=$S51,$G51,$E51),$E51)),IF(AND(ISNUMBER($G51),ISNUMBER($F51)),IF($F51&lt;=$S51,$G51,$E51),$E51))*(1+IF($J51="Y",0,Assumptions!$B$3)),"")</f>
        <v/>
      </c>
      <c r="W51" s="7">
        <f>IF(ISNUMBER($T51),$Q51*$T51/Assumptions!$B$4,"")</f>
        <v/>
      </c>
      <c r="X51" s="7">
        <f>IF(ISNUMBER($U51),$R51*$U51/Assumptions!$B$5,"")</f>
        <v/>
      </c>
      <c r="Y51" s="7">
        <f>IF(ISNUMBER($V51),$S51*$V51/Assumptions!$B$6,"")</f>
        <v/>
      </c>
      <c r="Z51" s="8">
        <f>$A51&amp;"|"&amp;IF(ISNUMBER($W51),TEXT($W51,"0.0000"),"x")&amp;"|"&amp;$L51</f>
        <v/>
      </c>
      <c r="AA51" s="8">
        <f>$A51&amp;"|"&amp;IF(ISNUMBER($Y51),TEXT($Y51,"0.0000"),"x")&amp;"|"&amp;$L51</f>
        <v/>
      </c>
    </row>
    <row r="52">
      <c r="A52" s="8" t="inlineStr">
        <is>
          <t>LED3</t>
        </is>
      </c>
      <c r="B52" s="8" t="inlineStr">
        <is>
          <t>element14 Australia</t>
        </is>
      </c>
      <c r="C52" s="8" t="inlineStr">
        <is>
          <t>2112098 / MPN 703-0088</t>
        </is>
      </c>
      <c r="D52" s="12" t="n">
        <v>1</v>
      </c>
      <c r="E52" s="14" t="n">
        <v>0.722</v>
      </c>
      <c r="F52" s="12" t="n">
        <v>10</v>
      </c>
      <c r="G52" s="14" t="n">
        <v>0.5629999999999999</v>
      </c>
      <c r="H52" s="12" t="n">
        <v>100</v>
      </c>
      <c r="I52" s="14" t="n">
        <v>0.443</v>
      </c>
      <c r="J52" s="12" t="inlineStr">
        <is>
          <t>N</t>
        </is>
      </c>
      <c r="K52" s="8" t="inlineStr">
        <is>
          <t>17,219 (UK)</t>
        </is>
      </c>
      <c r="L52" s="12" t="inlineStr">
        <is>
          <t>Y</t>
        </is>
      </c>
      <c r="M52" s="8" t="inlineStr">
        <is>
          <t>2026-10-24</t>
        </is>
      </c>
      <c r="N52" s="15" t="inlineStr">
        <is>
          <t>https://au.element14.com/multicomp-pro/703-0088/led-3mm-yellow-50mcd-590nm/dp/2112098</t>
        </is>
      </c>
      <c r="O52" s="8" t="inlineStr">
        <is>
          <t>Multicomp Pro 3 mm yellow THT. Min 5, multiple 5. element14 AU per-unit price ex GST (page also shows incl GST = +10%); ships from UK stock 3-5 business days.</t>
        </is>
      </c>
      <c r="P52" s="8">
        <f>IFERROR(VLOOKUP($A52,BOM!$A$2:$E$51,5,0),0)</f>
        <v/>
      </c>
      <c r="Q52" s="8">
        <f>CEILING($P52*Assumptions!$B$4/$D52,1)</f>
        <v/>
      </c>
      <c r="R52" s="8">
        <f>CEILING($P52*Assumptions!$B$5/$D52,1)</f>
        <v/>
      </c>
      <c r="S52" s="8">
        <f>CEILING($P52*Assumptions!$B$6/$D52,1)</f>
        <v/>
      </c>
      <c r="T52" s="7">
        <f>IF(ISNUMBER($E52),$E52*(1+IF($J52="Y",0,Assumptions!$B$3)),"")</f>
        <v/>
      </c>
      <c r="U52" s="7">
        <f>IF(ISNUMBER($E52),IF(AND(ISNUMBER($G52),ISNUMBER($F52)),IF($F52&lt;=$R52,$G52,$E52),$E52)*(1+IF($J52="Y",0,Assumptions!$B$3)),"")</f>
        <v/>
      </c>
      <c r="V52" s="7">
        <f>IF(ISNUMBER($E52),IF(AND(ISNUMBER($I52),ISNUMBER($H52)),IF($H52&lt;=$S52,$I52,IF(AND(ISNUMBER($G52),ISNUMBER($F52)),IF($F52&lt;=$S52,$G52,$E52),$E52)),IF(AND(ISNUMBER($G52),ISNUMBER($F52)),IF($F52&lt;=$S52,$G52,$E52),$E52))*(1+IF($J52="Y",0,Assumptions!$B$3)),"")</f>
        <v/>
      </c>
      <c r="W52" s="7">
        <f>IF(ISNUMBER($T52),$Q52*$T52/Assumptions!$B$4,"")</f>
        <v/>
      </c>
      <c r="X52" s="7">
        <f>IF(ISNUMBER($U52),$R52*$U52/Assumptions!$B$5,"")</f>
        <v/>
      </c>
      <c r="Y52" s="7">
        <f>IF(ISNUMBER($V52),$S52*$V52/Assumptions!$B$6,"")</f>
        <v/>
      </c>
      <c r="Z52" s="8">
        <f>$A52&amp;"|"&amp;IF(ISNUMBER($W52),TEXT($W52,"0.0000"),"x")&amp;"|"&amp;$L52</f>
        <v/>
      </c>
      <c r="AA52" s="8">
        <f>$A52&amp;"|"&amp;IF(ISNUMBER($Y52),TEXT($Y52,"0.0000"),"x")&amp;"|"&amp;$L52</f>
        <v/>
      </c>
    </row>
    <row r="53">
      <c r="A53" s="8" t="inlineStr">
        <is>
          <t>LEDB</t>
        </is>
      </c>
      <c r="B53" s="8" t="inlineStr">
        <is>
          <t>Core Electronics</t>
        </is>
      </c>
      <c r="C53" s="8" t="inlineStr">
        <is>
          <t>ADA780 Diffused Blue 3mm LED 25-pack</t>
        </is>
      </c>
      <c r="D53" s="12" t="n">
        <v>25</v>
      </c>
      <c r="E53" s="14" t="n">
        <v>11.4</v>
      </c>
      <c r="F53" s="12" t="n"/>
      <c r="G53" s="14" t="n"/>
      <c r="H53" s="12" t="n"/>
      <c r="I53" s="14" t="n"/>
      <c r="J53" s="12" t="inlineStr">
        <is>
          <t>Y</t>
        </is>
      </c>
      <c r="K53" s="8" t="inlineStr">
        <is>
          <t>2 local + supplier</t>
        </is>
      </c>
      <c r="L53" s="12" t="inlineStr">
        <is>
          <t>Y</t>
        </is>
      </c>
      <c r="M53" s="8" t="inlineStr">
        <is>
          <t>2026-10-25</t>
        </is>
      </c>
      <c r="N53" s="15" t="inlineStr">
        <is>
          <t>https://core-electronics.com.au/diffused-blue-3mm-led-25-pack.html</t>
        </is>
      </c>
      <c r="O53" s="8" t="inlineStr">
        <is>
          <t>Adafruit 25-pack, no breaks. element14: WP710A10QBC/D not found. Stock risk for 800 LEDs (32 packs).</t>
        </is>
      </c>
      <c r="P53" s="8">
        <f>IFERROR(VLOOKUP($A53,BOM!$A$2:$E$51,5,0),0)</f>
        <v/>
      </c>
      <c r="Q53" s="8">
        <f>CEILING($P53*Assumptions!$B$4/$D53,1)</f>
        <v/>
      </c>
      <c r="R53" s="8">
        <f>CEILING($P53*Assumptions!$B$5/$D53,1)</f>
        <v/>
      </c>
      <c r="S53" s="8">
        <f>CEILING($P53*Assumptions!$B$6/$D53,1)</f>
        <v/>
      </c>
      <c r="T53" s="7">
        <f>IF(ISNUMBER($E53),$E53*(1+IF($J53="Y",0,Assumptions!$B$3)),"")</f>
        <v/>
      </c>
      <c r="U53" s="7">
        <f>IF(ISNUMBER($E53),IF(AND(ISNUMBER($G53),ISNUMBER($F53)),IF($F53&lt;=$R53,$G53,$E53),$E53)*(1+IF($J53="Y",0,Assumptions!$B$3)),"")</f>
        <v/>
      </c>
      <c r="V53" s="7">
        <f>IF(ISNUMBER($E53),IF(AND(ISNUMBER($I53),ISNUMBER($H53)),IF($H53&lt;=$S53,$I53,IF(AND(ISNUMBER($G53),ISNUMBER($F53)),IF($F53&lt;=$S53,$G53,$E53),$E53)),IF(AND(ISNUMBER($G53),ISNUMBER($F53)),IF($F53&lt;=$S53,$G53,$E53),$E53))*(1+IF($J53="Y",0,Assumptions!$B$3)),"")</f>
        <v/>
      </c>
      <c r="W53" s="7">
        <f>IF(ISNUMBER($T53),$Q53*$T53/Assumptions!$B$4,"")</f>
        <v/>
      </c>
      <c r="X53" s="7">
        <f>IF(ISNUMBER($U53),$R53*$U53/Assumptions!$B$5,"")</f>
        <v/>
      </c>
      <c r="Y53" s="7">
        <f>IF(ISNUMBER($V53),$S53*$V53/Assumptions!$B$6,"")</f>
        <v/>
      </c>
      <c r="Z53" s="8">
        <f>$A53&amp;"|"&amp;IF(ISNUMBER($W53),TEXT($W53,"0.0000"),"x")&amp;"|"&amp;$L53</f>
        <v/>
      </c>
      <c r="AA53" s="8">
        <f>$A53&amp;"|"&amp;IF(ISNUMBER($Y53),TEXT($Y53,"0.0000"),"x")&amp;"|"&amp;$L53</f>
        <v/>
      </c>
    </row>
    <row r="54">
      <c r="A54" s="8" t="inlineStr">
        <is>
          <t>LEDB</t>
        </is>
      </c>
      <c r="B54" s="8" t="inlineStr">
        <is>
          <t>Mouser Australia</t>
        </is>
      </c>
      <c r="C54" s="8" t="inlineStr">
        <is>
          <t>WP710A10QBC/D (604-WP710A10QBC/D)</t>
        </is>
      </c>
      <c r="D54" s="12" t="n">
        <v>1</v>
      </c>
      <c r="E54" s="14" t="n">
        <v>0.522</v>
      </c>
      <c r="F54" s="12" t="n">
        <v>10</v>
      </c>
      <c r="G54" s="14" t="n">
        <v>0.357</v>
      </c>
      <c r="H54" s="12" t="n">
        <v>100</v>
      </c>
      <c r="I54" s="14" t="n">
        <v>0.212</v>
      </c>
      <c r="J54" s="12" t="inlineStr">
        <is>
          <t>N</t>
        </is>
      </c>
      <c r="K54" s="8" t="inlineStr">
        <is>
          <t>36871</t>
        </is>
      </c>
      <c r="L54" s="12" t="inlineStr">
        <is>
          <t>Y</t>
        </is>
      </c>
      <c r="M54" s="8" t="inlineStr">
        <is>
          <t>2026-10-25</t>
        </is>
      </c>
      <c r="N54" s="15" t="inlineStr">
        <is>
          <t>https://au.mouser.com/c/?q=WP710A10QBC</t>
        </is>
      </c>
      <c r="O54" s="8" t="inlineStr">
        <is>
          <t>Mouser page states no GST treatment; treated as ex GST. Kingbright 3 mm blue 470 nm water clear. Direct product page failed; price from search page.</t>
        </is>
      </c>
      <c r="P54" s="8">
        <f>IFERROR(VLOOKUP($A54,BOM!$A$2:$E$51,5,0),0)</f>
        <v/>
      </c>
      <c r="Q54" s="8">
        <f>CEILING($P54*Assumptions!$B$4/$D54,1)</f>
        <v/>
      </c>
      <c r="R54" s="8">
        <f>CEILING($P54*Assumptions!$B$5/$D54,1)</f>
        <v/>
      </c>
      <c r="S54" s="8">
        <f>CEILING($P54*Assumptions!$B$6/$D54,1)</f>
        <v/>
      </c>
      <c r="T54" s="7">
        <f>IF(ISNUMBER($E54),$E54*(1+IF($J54="Y",0,Assumptions!$B$3)),"")</f>
        <v/>
      </c>
      <c r="U54" s="7">
        <f>IF(ISNUMBER($E54),IF(AND(ISNUMBER($G54),ISNUMBER($F54)),IF($F54&lt;=$R54,$G54,$E54),$E54)*(1+IF($J54="Y",0,Assumptions!$B$3)),"")</f>
        <v/>
      </c>
      <c r="V54" s="7">
        <f>IF(ISNUMBER($E54),IF(AND(ISNUMBER($I54),ISNUMBER($H54)),IF($H54&lt;=$S54,$I54,IF(AND(ISNUMBER($G54),ISNUMBER($F54)),IF($F54&lt;=$S54,$G54,$E54),$E54)),IF(AND(ISNUMBER($G54),ISNUMBER($F54)),IF($F54&lt;=$S54,$G54,$E54),$E54))*(1+IF($J54="Y",0,Assumptions!$B$3)),"")</f>
        <v/>
      </c>
      <c r="W54" s="7">
        <f>IF(ISNUMBER($T54),$Q54*$T54/Assumptions!$B$4,"")</f>
        <v/>
      </c>
      <c r="X54" s="7">
        <f>IF(ISNUMBER($U54),$R54*$U54/Assumptions!$B$5,"")</f>
        <v/>
      </c>
      <c r="Y54" s="7">
        <f>IF(ISNUMBER($V54),$S54*$V54/Assumptions!$B$6,"")</f>
        <v/>
      </c>
      <c r="Z54" s="8">
        <f>$A54&amp;"|"&amp;IF(ISNUMBER($W54),TEXT($W54,"0.0000"),"x")&amp;"|"&amp;$L54</f>
        <v/>
      </c>
      <c r="AA54" s="8">
        <f>$A54&amp;"|"&amp;IF(ISNUMBER($Y54),TEXT($Y54,"0.0000"),"x")&amp;"|"&amp;$L54</f>
        <v/>
      </c>
    </row>
    <row r="55">
      <c r="A55" s="8" t="inlineStr">
        <is>
          <t>R01</t>
        </is>
      </c>
      <c r="B55" s="8" t="inlineStr">
        <is>
          <t>Core Electronics</t>
        </is>
      </c>
      <c r="C55" s="8" t="inlineStr">
        <is>
          <t>ADA4294</t>
        </is>
      </c>
      <c r="D55" s="12" t="n">
        <v>25</v>
      </c>
      <c r="E55" s="14" t="n">
        <v>1.5</v>
      </c>
      <c r="F55" s="12" t="n">
        <v>10</v>
      </c>
      <c r="G55" s="14" t="n">
        <v>1.45</v>
      </c>
      <c r="H55" s="12" t="n">
        <v>50</v>
      </c>
      <c r="I55" s="14" t="n">
        <v>1.43</v>
      </c>
      <c r="J55" s="12" t="inlineStr">
        <is>
          <t>N</t>
        </is>
      </c>
      <c r="K55" s="8" t="inlineStr">
        <is>
          <t>OUT OF STOCK</t>
        </is>
      </c>
      <c r="L55" s="12" t="inlineStr">
        <is>
          <t>Y</t>
        </is>
      </c>
      <c r="M55" s="8" t="inlineStr">
        <is>
          <t>2026-10-24</t>
        </is>
      </c>
      <c r="N55" s="15" t="inlineStr">
        <is>
          <t>https://core-electronics.com.au/through-hole-resistors-1-0k-ohm-5-1-4w-pack-of-25.html</t>
        </is>
      </c>
      <c r="O55" s="8" t="inlineStr">
        <is>
          <t>Adafruit 1k 5% 1/4 W pack of 25. Breaks 10+ 1.45, 50+ 1.43 (no 100 break). Alternative PRT-14492 20-pack $2.30 incl GST, 0 local stock. Jaycar RR0572 is 1k 0.5 W metal film pk 8 at $0.85. Core Electronics: q1 and breaks recorded ex GST (page shows q1 inc GST as well).</t>
        </is>
      </c>
      <c r="P55" s="8">
        <f>IFERROR(VLOOKUP($A55,BOM!$A$2:$E$51,5,0),0)</f>
        <v/>
      </c>
      <c r="Q55" s="8">
        <f>CEILING($P55*Assumptions!$B$4/$D55,1)</f>
        <v/>
      </c>
      <c r="R55" s="8">
        <f>CEILING($P55*Assumptions!$B$5/$D55,1)</f>
        <v/>
      </c>
      <c r="S55" s="8">
        <f>CEILING($P55*Assumptions!$B$6/$D55,1)</f>
        <v/>
      </c>
      <c r="T55" s="7">
        <f>IF(ISNUMBER($E55),$E55*(1+IF($J55="Y",0,Assumptions!$B$3)),"")</f>
        <v/>
      </c>
      <c r="U55" s="7">
        <f>IF(ISNUMBER($E55),IF(AND(ISNUMBER($G55),ISNUMBER($F55)),IF($F55&lt;=$R55,$G55,$E55),$E55)*(1+IF($J55="Y",0,Assumptions!$B$3)),"")</f>
        <v/>
      </c>
      <c r="V55" s="7">
        <f>IF(ISNUMBER($E55),IF(AND(ISNUMBER($I55),ISNUMBER($H55)),IF($H55&lt;=$S55,$I55,IF(AND(ISNUMBER($G55),ISNUMBER($F55)),IF($F55&lt;=$S55,$G55,$E55),$E55)),IF(AND(ISNUMBER($G55),ISNUMBER($F55)),IF($F55&lt;=$S55,$G55,$E55),$E55))*(1+IF($J55="Y",0,Assumptions!$B$3)),"")</f>
        <v/>
      </c>
      <c r="W55" s="7">
        <f>IF(ISNUMBER($T55),$Q55*$T55/Assumptions!$B$4,"")</f>
        <v/>
      </c>
      <c r="X55" s="7">
        <f>IF(ISNUMBER($U55),$R55*$U55/Assumptions!$B$5,"")</f>
        <v/>
      </c>
      <c r="Y55" s="7">
        <f>IF(ISNUMBER($V55),$S55*$V55/Assumptions!$B$6,"")</f>
        <v/>
      </c>
      <c r="Z55" s="8">
        <f>$A55&amp;"|"&amp;IF(ISNUMBER($W55),TEXT($W55,"0.0000"),"x")&amp;"|"&amp;$L55</f>
        <v/>
      </c>
      <c r="AA55" s="8">
        <f>$A55&amp;"|"&amp;IF(ISNUMBER($Y55),TEXT($Y55,"0.0000"),"x")&amp;"|"&amp;$L55</f>
        <v/>
      </c>
    </row>
    <row r="56">
      <c r="A56" s="8" t="inlineStr">
        <is>
          <t>R01</t>
        </is>
      </c>
      <c r="B56" s="8" t="inlineStr">
        <is>
          <t>element14 Australia</t>
        </is>
      </c>
      <c r="C56" s="8" t="inlineStr">
        <is>
          <t>9339051 / MPN MCF 0.25W 1K</t>
        </is>
      </c>
      <c r="D56" s="12" t="n">
        <v>1</v>
      </c>
      <c r="E56" s="14" t="n">
        <v>0.059</v>
      </c>
      <c r="F56" s="12" t="n">
        <v>10</v>
      </c>
      <c r="G56" s="14" t="n">
        <v>0.059</v>
      </c>
      <c r="H56" s="12" t="n">
        <v>100</v>
      </c>
      <c r="I56" s="14" t="n">
        <v>0.034</v>
      </c>
      <c r="J56" s="12" t="inlineStr">
        <is>
          <t>N</t>
        </is>
      </c>
      <c r="K56" s="8" t="inlineStr">
        <is>
          <t>41,471 (UK) + 205,000 incoming</t>
        </is>
      </c>
      <c r="L56" s="12" t="inlineStr">
        <is>
          <t>Y</t>
        </is>
      </c>
      <c r="M56" s="8" t="inlineStr">
        <is>
          <t>2026-10-24</t>
        </is>
      </c>
      <c r="N56" s="15" t="inlineStr">
        <is>
          <t>https://au.element14.com/multicomp-pro/mcf-0-25w-1k/res-1k-5-250mw-axial-carbon-film/dp/9339051</t>
        </is>
      </c>
      <c r="O56" s="8" t="inlineStr">
        <is>
          <t>Carbon film 1k 5% 0.25 W axial. Min 10, multiple 10 (q1 = 10+ unit price; min order 10 = $0.59 ex GST). element14 AU per-unit price ex GST (page also shows incl GST = +10%); ships from UK stock 3-5 business days.</t>
        </is>
      </c>
      <c r="P56" s="8">
        <f>IFERROR(VLOOKUP($A56,BOM!$A$2:$E$51,5,0),0)</f>
        <v/>
      </c>
      <c r="Q56" s="8">
        <f>CEILING($P56*Assumptions!$B$4/$D56,1)</f>
        <v/>
      </c>
      <c r="R56" s="8">
        <f>CEILING($P56*Assumptions!$B$5/$D56,1)</f>
        <v/>
      </c>
      <c r="S56" s="8">
        <f>CEILING($P56*Assumptions!$B$6/$D56,1)</f>
        <v/>
      </c>
      <c r="T56" s="7">
        <f>IF(ISNUMBER($E56),$E56*(1+IF($J56="Y",0,Assumptions!$B$3)),"")</f>
        <v/>
      </c>
      <c r="U56" s="7">
        <f>IF(ISNUMBER($E56),IF(AND(ISNUMBER($G56),ISNUMBER($F56)),IF($F56&lt;=$R56,$G56,$E56),$E56)*(1+IF($J56="Y",0,Assumptions!$B$3)),"")</f>
        <v/>
      </c>
      <c r="V56" s="7">
        <f>IF(ISNUMBER($E56),IF(AND(ISNUMBER($I56),ISNUMBER($H56)),IF($H56&lt;=$S56,$I56,IF(AND(ISNUMBER($G56),ISNUMBER($F56)),IF($F56&lt;=$S56,$G56,$E56),$E56)),IF(AND(ISNUMBER($G56),ISNUMBER($F56)),IF($F56&lt;=$S56,$G56,$E56),$E56))*(1+IF($J56="Y",0,Assumptions!$B$3)),"")</f>
        <v/>
      </c>
      <c r="W56" s="7">
        <f>IF(ISNUMBER($T56),$Q56*$T56/Assumptions!$B$4,"")</f>
        <v/>
      </c>
      <c r="X56" s="7">
        <f>IF(ISNUMBER($U56),$R56*$U56/Assumptions!$B$5,"")</f>
        <v/>
      </c>
      <c r="Y56" s="7">
        <f>IF(ISNUMBER($V56),$S56*$V56/Assumptions!$B$6,"")</f>
        <v/>
      </c>
      <c r="Z56" s="8">
        <f>$A56&amp;"|"&amp;IF(ISNUMBER($W56),TEXT($W56,"0.0000"),"x")&amp;"|"&amp;$L56</f>
        <v/>
      </c>
      <c r="AA56" s="8">
        <f>$A56&amp;"|"&amp;IF(ISNUMBER($Y56),TEXT($Y56,"0.0000"),"x")&amp;"|"&amp;$L56</f>
        <v/>
      </c>
    </row>
    <row r="57">
      <c r="A57" s="8" t="inlineStr">
        <is>
          <t>R2k2</t>
        </is>
      </c>
      <c r="B57" s="8" t="inlineStr">
        <is>
          <t>Mouser Australia</t>
        </is>
      </c>
      <c r="C57" s="8" t="inlineStr">
        <is>
          <t>MFR-25FBF52-2K2 (603-MFR-25FBF52-2K2)</t>
        </is>
      </c>
      <c r="D57" s="12" t="n">
        <v>1</v>
      </c>
      <c r="E57" s="14" t="n">
        <v>0.145</v>
      </c>
      <c r="F57" s="12" t="n">
        <v>10</v>
      </c>
      <c r="G57" s="14" t="n">
        <v>0.061</v>
      </c>
      <c r="H57" s="12" t="n">
        <v>100</v>
      </c>
      <c r="I57" s="14" t="n">
        <v>0.039</v>
      </c>
      <c r="J57" s="12" t="inlineStr">
        <is>
          <t>N</t>
        </is>
      </c>
      <c r="K57" s="8" t="inlineStr">
        <is>
          <t>19605 (+20000 due 12/01/2027)</t>
        </is>
      </c>
      <c r="L57" s="12" t="inlineStr">
        <is>
          <t>Y</t>
        </is>
      </c>
      <c r="M57" s="8" t="inlineStr">
        <is>
          <t>2026-10-25</t>
        </is>
      </c>
      <c r="N57" s="15" t="inlineStr">
        <is>
          <t>https://au.mouser.com/c/?q=MFR-25FBF52-2K2</t>
        </is>
      </c>
      <c r="O57" s="8" t="inlineStr">
        <is>
          <t>Mouser page states no GST treatment; treated as ex GST. Yageo 1/4 W 1%, bulk.</t>
        </is>
      </c>
      <c r="P57" s="8">
        <f>IFERROR(VLOOKUP($A57,BOM!$A$2:$E$51,5,0),0)</f>
        <v/>
      </c>
      <c r="Q57" s="8">
        <f>CEILING($P57*Assumptions!$B$4/$D57,1)</f>
        <v/>
      </c>
      <c r="R57" s="8">
        <f>CEILING($P57*Assumptions!$B$5/$D57,1)</f>
        <v/>
      </c>
      <c r="S57" s="8">
        <f>CEILING($P57*Assumptions!$B$6/$D57,1)</f>
        <v/>
      </c>
      <c r="T57" s="7">
        <f>IF(ISNUMBER($E57),$E57*(1+IF($J57="Y",0,Assumptions!$B$3)),"")</f>
        <v/>
      </c>
      <c r="U57" s="7">
        <f>IF(ISNUMBER($E57),IF(AND(ISNUMBER($G57),ISNUMBER($F57)),IF($F57&lt;=$R57,$G57,$E57),$E57)*(1+IF($J57="Y",0,Assumptions!$B$3)),"")</f>
        <v/>
      </c>
      <c r="V57" s="7">
        <f>IF(ISNUMBER($E57),IF(AND(ISNUMBER($I57),ISNUMBER($H57)),IF($H57&lt;=$S57,$I57,IF(AND(ISNUMBER($G57),ISNUMBER($F57)),IF($F57&lt;=$S57,$G57,$E57),$E57)),IF(AND(ISNUMBER($G57),ISNUMBER($F57)),IF($F57&lt;=$S57,$G57,$E57),$E57))*(1+IF($J57="Y",0,Assumptions!$B$3)),"")</f>
        <v/>
      </c>
      <c r="W57" s="7">
        <f>IF(ISNUMBER($T57),$Q57*$T57/Assumptions!$B$4,"")</f>
        <v/>
      </c>
      <c r="X57" s="7">
        <f>IF(ISNUMBER($U57),$R57*$U57/Assumptions!$B$5,"")</f>
        <v/>
      </c>
      <c r="Y57" s="7">
        <f>IF(ISNUMBER($V57),$S57*$V57/Assumptions!$B$6,"")</f>
        <v/>
      </c>
      <c r="Z57" s="8">
        <f>$A57&amp;"|"&amp;IF(ISNUMBER($W57),TEXT($W57,"0.0000"),"x")&amp;"|"&amp;$L57</f>
        <v/>
      </c>
      <c r="AA57" s="8">
        <f>$A57&amp;"|"&amp;IF(ISNUMBER($Y57),TEXT($Y57,"0.0000"),"x")&amp;"|"&amp;$L57</f>
        <v/>
      </c>
    </row>
    <row r="58">
      <c r="A58" s="8" t="inlineStr">
        <is>
          <t>R2k2</t>
        </is>
      </c>
      <c r="B58" s="8" t="inlineStr">
        <is>
          <t>element14 Australia</t>
        </is>
      </c>
      <c r="C58" s="8" t="inlineStr">
        <is>
          <t>MFR-25FBF52-2K2 (order code 4555518)</t>
        </is>
      </c>
      <c r="D58" s="12" t="n">
        <v>1</v>
      </c>
      <c r="E58" s="14" t="n">
        <v>0.147</v>
      </c>
      <c r="F58" s="12" t="n">
        <v>25</v>
      </c>
      <c r="G58" s="14" t="n">
        <v>0.048</v>
      </c>
      <c r="H58" s="12" t="n">
        <v>100</v>
      </c>
      <c r="I58" s="14" t="n">
        <v>0.042</v>
      </c>
      <c r="J58" s="12" t="inlineStr">
        <is>
          <t>N</t>
        </is>
      </c>
      <c r="K58" s="8" t="inlineStr">
        <is>
          <t>in stock (qty not shown)</t>
        </is>
      </c>
      <c r="L58" s="12" t="inlineStr">
        <is>
          <t>Y</t>
        </is>
      </c>
      <c r="M58" s="8" t="inlineStr">
        <is>
          <t>2026-10-25</t>
        </is>
      </c>
      <c r="N58" s="15" t="inlineStr">
        <is>
          <t>https://au.element14.com/w/search?st=MFR-25FBF52-2K2</t>
        </is>
      </c>
      <c r="O58" s="8" t="inlineStr">
        <is>
          <t>element14 shows ex GST with incl-GST in brackets; ex-GST figures recorded. Cut tape. Order code 4560126 (same MPN): 10+ 0.061, 100+ 0.040.</t>
        </is>
      </c>
      <c r="P58" s="8">
        <f>IFERROR(VLOOKUP($A58,BOM!$A$2:$E$51,5,0),0)</f>
        <v/>
      </c>
      <c r="Q58" s="8">
        <f>CEILING($P58*Assumptions!$B$4/$D58,1)</f>
        <v/>
      </c>
      <c r="R58" s="8">
        <f>CEILING($P58*Assumptions!$B$5/$D58,1)</f>
        <v/>
      </c>
      <c r="S58" s="8">
        <f>CEILING($P58*Assumptions!$B$6/$D58,1)</f>
        <v/>
      </c>
      <c r="T58" s="7">
        <f>IF(ISNUMBER($E58),$E58*(1+IF($J58="Y",0,Assumptions!$B$3)),"")</f>
        <v/>
      </c>
      <c r="U58" s="7">
        <f>IF(ISNUMBER($E58),IF(AND(ISNUMBER($G58),ISNUMBER($F58)),IF($F58&lt;=$R58,$G58,$E58),$E58)*(1+IF($J58="Y",0,Assumptions!$B$3)),"")</f>
        <v/>
      </c>
      <c r="V58" s="7">
        <f>IF(ISNUMBER($E58),IF(AND(ISNUMBER($I58),ISNUMBER($H58)),IF($H58&lt;=$S58,$I58,IF(AND(ISNUMBER($G58),ISNUMBER($F58)),IF($F58&lt;=$S58,$G58,$E58),$E58)),IF(AND(ISNUMBER($G58),ISNUMBER($F58)),IF($F58&lt;=$S58,$G58,$E58),$E58))*(1+IF($J58="Y",0,Assumptions!$B$3)),"")</f>
        <v/>
      </c>
      <c r="W58" s="7">
        <f>IF(ISNUMBER($T58),$Q58*$T58/Assumptions!$B$4,"")</f>
        <v/>
      </c>
      <c r="X58" s="7">
        <f>IF(ISNUMBER($U58),$R58*$U58/Assumptions!$B$5,"")</f>
        <v/>
      </c>
      <c r="Y58" s="7">
        <f>IF(ISNUMBER($V58),$S58*$V58/Assumptions!$B$6,"")</f>
        <v/>
      </c>
      <c r="Z58" s="8">
        <f>$A58&amp;"|"&amp;IF(ISNUMBER($W58),TEXT($W58,"0.0000"),"x")&amp;"|"&amp;$L58</f>
        <v/>
      </c>
      <c r="AA58" s="8">
        <f>$A58&amp;"|"&amp;IF(ISNUMBER($Y58),TEXT($Y58,"0.0000"),"x")&amp;"|"&amp;$L58</f>
        <v/>
      </c>
    </row>
    <row r="59">
      <c r="A59" s="8" t="inlineStr">
        <is>
          <t>R02</t>
        </is>
      </c>
      <c r="B59" s="8" t="inlineStr">
        <is>
          <t>Core Electronics</t>
        </is>
      </c>
      <c r="C59" s="8" t="inlineStr">
        <is>
          <t>CE09886</t>
        </is>
      </c>
      <c r="D59" s="12" t="n">
        <v>1</v>
      </c>
      <c r="E59" s="14" t="n">
        <v>0.09</v>
      </c>
      <c r="F59" s="12" t="n">
        <v>10</v>
      </c>
      <c r="G59" s="14" t="n">
        <v>0.08</v>
      </c>
      <c r="H59" s="12" t="n">
        <v>100</v>
      </c>
      <c r="I59" s="14" t="n">
        <v>0.07000000000000001</v>
      </c>
      <c r="J59" s="12" t="inlineStr">
        <is>
          <t>N</t>
        </is>
      </c>
      <c r="K59" s="8" t="inlineStr">
        <is>
          <t>1,362 local</t>
        </is>
      </c>
      <c r="L59" s="12" t="inlineStr">
        <is>
          <t>Y</t>
        </is>
      </c>
      <c r="M59" s="8" t="inlineStr">
        <is>
          <t>2026-10-24</t>
        </is>
      </c>
      <c r="N59" s="15" t="inlineStr">
        <is>
          <t>https://core-electronics.com.au/resistor-10k-ohm-025-watt-pth.html</t>
        </is>
      </c>
      <c r="O59" s="8" t="inlineStr">
        <is>
          <t>10k 0.25 W PTH, sold singly (pack size not stated). q1 $0.10 inc GST. Core Electronics: q1 and breaks recorded ex GST (page shows q1 inc GST as well).</t>
        </is>
      </c>
      <c r="P59" s="8">
        <f>IFERROR(VLOOKUP($A59,BOM!$A$2:$E$51,5,0),0)</f>
        <v/>
      </c>
      <c r="Q59" s="8">
        <f>CEILING($P59*Assumptions!$B$4/$D59,1)</f>
        <v/>
      </c>
      <c r="R59" s="8">
        <f>CEILING($P59*Assumptions!$B$5/$D59,1)</f>
        <v/>
      </c>
      <c r="S59" s="8">
        <f>CEILING($P59*Assumptions!$B$6/$D59,1)</f>
        <v/>
      </c>
      <c r="T59" s="7">
        <f>IF(ISNUMBER($E59),$E59*(1+IF($J59="Y",0,Assumptions!$B$3)),"")</f>
        <v/>
      </c>
      <c r="U59" s="7">
        <f>IF(ISNUMBER($E59),IF(AND(ISNUMBER($G59),ISNUMBER($F59)),IF($F59&lt;=$R59,$G59,$E59),$E59)*(1+IF($J59="Y",0,Assumptions!$B$3)),"")</f>
        <v/>
      </c>
      <c r="V59" s="7">
        <f>IF(ISNUMBER($E59),IF(AND(ISNUMBER($I59),ISNUMBER($H59)),IF($H59&lt;=$S59,$I59,IF(AND(ISNUMBER($G59),ISNUMBER($F59)),IF($F59&lt;=$S59,$G59,$E59),$E59)),IF(AND(ISNUMBER($G59),ISNUMBER($F59)),IF($F59&lt;=$S59,$G59,$E59),$E59))*(1+IF($J59="Y",0,Assumptions!$B$3)),"")</f>
        <v/>
      </c>
      <c r="W59" s="7">
        <f>IF(ISNUMBER($T59),$Q59*$T59/Assumptions!$B$4,"")</f>
        <v/>
      </c>
      <c r="X59" s="7">
        <f>IF(ISNUMBER($U59),$R59*$U59/Assumptions!$B$5,"")</f>
        <v/>
      </c>
      <c r="Y59" s="7">
        <f>IF(ISNUMBER($V59),$S59*$V59/Assumptions!$B$6,"")</f>
        <v/>
      </c>
      <c r="Z59" s="8">
        <f>$A59&amp;"|"&amp;IF(ISNUMBER($W59),TEXT($W59,"0.0000"),"x")&amp;"|"&amp;$L59</f>
        <v/>
      </c>
      <c r="AA59" s="8">
        <f>$A59&amp;"|"&amp;IF(ISNUMBER($Y59),TEXT($Y59,"0.0000"),"x")&amp;"|"&amp;$L59</f>
        <v/>
      </c>
    </row>
    <row r="60">
      <c r="A60" s="8" t="inlineStr">
        <is>
          <t>R02</t>
        </is>
      </c>
      <c r="B60" s="8" t="inlineStr">
        <is>
          <t>element14 Australia</t>
        </is>
      </c>
      <c r="C60" s="8" t="inlineStr">
        <is>
          <t>9339060 / MPN MCF 0.25W 10K</t>
        </is>
      </c>
      <c r="D60" s="12" t="n">
        <v>1</v>
      </c>
      <c r="E60" s="14" t="n">
        <v>0.059</v>
      </c>
      <c r="F60" s="12" t="n">
        <v>10</v>
      </c>
      <c r="G60" s="14" t="n">
        <v>0.059</v>
      </c>
      <c r="H60" s="12" t="n">
        <v>100</v>
      </c>
      <c r="I60" s="14" t="n">
        <v>0.034</v>
      </c>
      <c r="J60" s="12" t="inlineStr">
        <is>
          <t>N</t>
        </is>
      </c>
      <c r="K60" s="8" t="inlineStr">
        <is>
          <t>232,860 (UK)</t>
        </is>
      </c>
      <c r="L60" s="12" t="inlineStr">
        <is>
          <t>Y</t>
        </is>
      </c>
      <c r="M60" s="8" t="inlineStr">
        <is>
          <t>2026-10-24</t>
        </is>
      </c>
      <c r="N60" s="15" t="inlineStr">
        <is>
          <t>https://au.element14.com/multicomp-pro/mcf-0-25w-10k/res-10k-5-250mw-axial-carbon-film/dp/9339060</t>
        </is>
      </c>
      <c r="O60" s="8" t="inlineStr">
        <is>
          <t>Carbon film 10k 5% 0.25 W axial. Min 10, multiple 10. element14 AU per-unit price ex GST (page also shows incl GST = +10%); ships from UK stock 3-5 business days.</t>
        </is>
      </c>
      <c r="P60" s="8">
        <f>IFERROR(VLOOKUP($A60,BOM!$A$2:$E$51,5,0),0)</f>
        <v/>
      </c>
      <c r="Q60" s="8">
        <f>CEILING($P60*Assumptions!$B$4/$D60,1)</f>
        <v/>
      </c>
      <c r="R60" s="8">
        <f>CEILING($P60*Assumptions!$B$5/$D60,1)</f>
        <v/>
      </c>
      <c r="S60" s="8">
        <f>CEILING($P60*Assumptions!$B$6/$D60,1)</f>
        <v/>
      </c>
      <c r="T60" s="7">
        <f>IF(ISNUMBER($E60),$E60*(1+IF($J60="Y",0,Assumptions!$B$3)),"")</f>
        <v/>
      </c>
      <c r="U60" s="7">
        <f>IF(ISNUMBER($E60),IF(AND(ISNUMBER($G60),ISNUMBER($F60)),IF($F60&lt;=$R60,$G60,$E60),$E60)*(1+IF($J60="Y",0,Assumptions!$B$3)),"")</f>
        <v/>
      </c>
      <c r="V60" s="7">
        <f>IF(ISNUMBER($E60),IF(AND(ISNUMBER($I60),ISNUMBER($H60)),IF($H60&lt;=$S60,$I60,IF(AND(ISNUMBER($G60),ISNUMBER($F60)),IF($F60&lt;=$S60,$G60,$E60),$E60)),IF(AND(ISNUMBER($G60),ISNUMBER($F60)),IF($F60&lt;=$S60,$G60,$E60),$E60))*(1+IF($J60="Y",0,Assumptions!$B$3)),"")</f>
        <v/>
      </c>
      <c r="W60" s="7">
        <f>IF(ISNUMBER($T60),$Q60*$T60/Assumptions!$B$4,"")</f>
        <v/>
      </c>
      <c r="X60" s="7">
        <f>IF(ISNUMBER($U60),$R60*$U60/Assumptions!$B$5,"")</f>
        <v/>
      </c>
      <c r="Y60" s="7">
        <f>IF(ISNUMBER($V60),$S60*$V60/Assumptions!$B$6,"")</f>
        <v/>
      </c>
      <c r="Z60" s="8">
        <f>$A60&amp;"|"&amp;IF(ISNUMBER($W60),TEXT($W60,"0.0000"),"x")&amp;"|"&amp;$L60</f>
        <v/>
      </c>
      <c r="AA60" s="8">
        <f>$A60&amp;"|"&amp;IF(ISNUMBER($Y60),TEXT($Y60,"0.0000"),"x")&amp;"|"&amp;$L60</f>
        <v/>
      </c>
    </row>
    <row r="61">
      <c r="A61" s="8" t="inlineStr">
        <is>
          <t>R100k</t>
        </is>
      </c>
      <c r="B61" s="8" t="inlineStr">
        <is>
          <t>Mouser Australia</t>
        </is>
      </c>
      <c r="C61" s="8" t="inlineStr">
        <is>
          <t>MFR-25FBF52-100K (603-MFR-25FBF52-100K)</t>
        </is>
      </c>
      <c r="D61" s="12" t="n">
        <v>1</v>
      </c>
      <c r="E61" s="14" t="n">
        <v>0.145</v>
      </c>
      <c r="F61" s="12" t="n">
        <v>10</v>
      </c>
      <c r="G61" s="14" t="n">
        <v>0.061</v>
      </c>
      <c r="H61" s="12" t="n">
        <v>100</v>
      </c>
      <c r="I61" s="14" t="n">
        <v>0.039</v>
      </c>
      <c r="J61" s="12" t="inlineStr">
        <is>
          <t>N</t>
        </is>
      </c>
      <c r="K61" s="8" t="inlineStr">
        <is>
          <t>15904 (+70000 on order)</t>
        </is>
      </c>
      <c r="L61" s="12" t="inlineStr">
        <is>
          <t>Y</t>
        </is>
      </c>
      <c r="M61" s="8" t="inlineStr">
        <is>
          <t>2026-10-25</t>
        </is>
      </c>
      <c r="N61" s="15" t="inlineStr">
        <is>
          <t>https://au.mouser.com/c/?q=MFR-25FBF52-100K</t>
        </is>
      </c>
      <c r="O61" s="8" t="inlineStr">
        <is>
          <t>Mouser page states no GST treatment; treated as ex GST. Yageo 1/4 W 1%, bulk.</t>
        </is>
      </c>
      <c r="P61" s="8">
        <f>IFERROR(VLOOKUP($A61,BOM!$A$2:$E$51,5,0),0)</f>
        <v/>
      </c>
      <c r="Q61" s="8">
        <f>CEILING($P61*Assumptions!$B$4/$D61,1)</f>
        <v/>
      </c>
      <c r="R61" s="8">
        <f>CEILING($P61*Assumptions!$B$5/$D61,1)</f>
        <v/>
      </c>
      <c r="S61" s="8">
        <f>CEILING($P61*Assumptions!$B$6/$D61,1)</f>
        <v/>
      </c>
      <c r="T61" s="7">
        <f>IF(ISNUMBER($E61),$E61*(1+IF($J61="Y",0,Assumptions!$B$3)),"")</f>
        <v/>
      </c>
      <c r="U61" s="7">
        <f>IF(ISNUMBER($E61),IF(AND(ISNUMBER($G61),ISNUMBER($F61)),IF($F61&lt;=$R61,$G61,$E61),$E61)*(1+IF($J61="Y",0,Assumptions!$B$3)),"")</f>
        <v/>
      </c>
      <c r="V61" s="7">
        <f>IF(ISNUMBER($E61),IF(AND(ISNUMBER($I61),ISNUMBER($H61)),IF($H61&lt;=$S61,$I61,IF(AND(ISNUMBER($G61),ISNUMBER($F61)),IF($F61&lt;=$S61,$G61,$E61),$E61)),IF(AND(ISNUMBER($G61),ISNUMBER($F61)),IF($F61&lt;=$S61,$G61,$E61),$E61))*(1+IF($J61="Y",0,Assumptions!$B$3)),"")</f>
        <v/>
      </c>
      <c r="W61" s="7">
        <f>IF(ISNUMBER($T61),$Q61*$T61/Assumptions!$B$4,"")</f>
        <v/>
      </c>
      <c r="X61" s="7">
        <f>IF(ISNUMBER($U61),$R61*$U61/Assumptions!$B$5,"")</f>
        <v/>
      </c>
      <c r="Y61" s="7">
        <f>IF(ISNUMBER($V61),$S61*$V61/Assumptions!$B$6,"")</f>
        <v/>
      </c>
      <c r="Z61" s="8">
        <f>$A61&amp;"|"&amp;IF(ISNUMBER($W61),TEXT($W61,"0.0000"),"x")&amp;"|"&amp;$L61</f>
        <v/>
      </c>
      <c r="AA61" s="8">
        <f>$A61&amp;"|"&amp;IF(ISNUMBER($Y61),TEXT($Y61,"0.0000"),"x")&amp;"|"&amp;$L61</f>
        <v/>
      </c>
    </row>
    <row r="62">
      <c r="A62" s="8" t="inlineStr">
        <is>
          <t>R100k</t>
        </is>
      </c>
      <c r="B62" s="8" t="inlineStr">
        <is>
          <t>element14 Australia</t>
        </is>
      </c>
      <c r="C62" s="8" t="inlineStr">
        <is>
          <t>MFR-25FBF52-100K (order code 3951793)</t>
        </is>
      </c>
      <c r="D62" s="12" t="n">
        <v>1</v>
      </c>
      <c r="E62" s="14" t="n">
        <v>0.061</v>
      </c>
      <c r="F62" s="12" t="n">
        <v>10</v>
      </c>
      <c r="G62" s="14" t="n">
        <v>0.061</v>
      </c>
      <c r="H62" s="12" t="n">
        <v>100</v>
      </c>
      <c r="I62" s="14" t="n">
        <v>0.04</v>
      </c>
      <c r="J62" s="12" t="inlineStr">
        <is>
          <t>N</t>
        </is>
      </c>
      <c r="K62" s="8" t="inlineStr">
        <is>
          <t>21981</t>
        </is>
      </c>
      <c r="L62" s="12" t="inlineStr">
        <is>
          <t>Y</t>
        </is>
      </c>
      <c r="M62" s="8" t="inlineStr">
        <is>
          <t>2026-10-25</t>
        </is>
      </c>
      <c r="N62" s="15" t="inlineStr">
        <is>
          <t>https://au.element14.com/w/search?st=MFR-25FBF52-100K</t>
        </is>
      </c>
      <c r="O62" s="8" t="inlineStr">
        <is>
          <t>element14 shows ex GST with incl-GST in brackets; ex-GST figures recorded. Min order 10, multiple 10; q1 field is the 10+ price.</t>
        </is>
      </c>
      <c r="P62" s="8">
        <f>IFERROR(VLOOKUP($A62,BOM!$A$2:$E$51,5,0),0)</f>
        <v/>
      </c>
      <c r="Q62" s="8">
        <f>CEILING($P62*Assumptions!$B$4/$D62,1)</f>
        <v/>
      </c>
      <c r="R62" s="8">
        <f>CEILING($P62*Assumptions!$B$5/$D62,1)</f>
        <v/>
      </c>
      <c r="S62" s="8">
        <f>CEILING($P62*Assumptions!$B$6/$D62,1)</f>
        <v/>
      </c>
      <c r="T62" s="7">
        <f>IF(ISNUMBER($E62),$E62*(1+IF($J62="Y",0,Assumptions!$B$3)),"")</f>
        <v/>
      </c>
      <c r="U62" s="7">
        <f>IF(ISNUMBER($E62),IF(AND(ISNUMBER($G62),ISNUMBER($F62)),IF($F62&lt;=$R62,$G62,$E62),$E62)*(1+IF($J62="Y",0,Assumptions!$B$3)),"")</f>
        <v/>
      </c>
      <c r="V62" s="7">
        <f>IF(ISNUMBER($E62),IF(AND(ISNUMBER($I62),ISNUMBER($H62)),IF($H62&lt;=$S62,$I62,IF(AND(ISNUMBER($G62),ISNUMBER($F62)),IF($F62&lt;=$S62,$G62,$E62),$E62)),IF(AND(ISNUMBER($G62),ISNUMBER($F62)),IF($F62&lt;=$S62,$G62,$E62),$E62))*(1+IF($J62="Y",0,Assumptions!$B$3)),"")</f>
        <v/>
      </c>
      <c r="W62" s="7">
        <f>IF(ISNUMBER($T62),$Q62*$T62/Assumptions!$B$4,"")</f>
        <v/>
      </c>
      <c r="X62" s="7">
        <f>IF(ISNUMBER($U62),$R62*$U62/Assumptions!$B$5,"")</f>
        <v/>
      </c>
      <c r="Y62" s="7">
        <f>IF(ISNUMBER($V62),$S62*$V62/Assumptions!$B$6,"")</f>
        <v/>
      </c>
      <c r="Z62" s="8">
        <f>$A62&amp;"|"&amp;IF(ISNUMBER($W62),TEXT($W62,"0.0000"),"x")&amp;"|"&amp;$L62</f>
        <v/>
      </c>
      <c r="AA62" s="8">
        <f>$A62&amp;"|"&amp;IF(ISNUMBER($Y62),TEXT($Y62,"0.0000"),"x")&amp;"|"&amp;$L62</f>
        <v/>
      </c>
    </row>
    <row r="63">
      <c r="A63" s="8" t="inlineStr">
        <is>
          <t>R470</t>
        </is>
      </c>
      <c r="B63" s="8" t="inlineStr">
        <is>
          <t>Mouser Australia</t>
        </is>
      </c>
      <c r="C63" s="8" t="inlineStr">
        <is>
          <t>MFR-25FBF52-470R (603-MFR-25FBF52-470R)</t>
        </is>
      </c>
      <c r="D63" s="12" t="n">
        <v>1</v>
      </c>
      <c r="E63" s="14" t="n">
        <v>0.16</v>
      </c>
      <c r="F63" s="12" t="n">
        <v>10</v>
      </c>
      <c r="G63" s="14" t="n">
        <v>0.064</v>
      </c>
      <c r="H63" s="12" t="n">
        <v>100</v>
      </c>
      <c r="I63" s="14" t="n">
        <v>0.042</v>
      </c>
      <c r="J63" s="12" t="inlineStr">
        <is>
          <t>N</t>
        </is>
      </c>
      <c r="K63" s="8" t="inlineStr">
        <is>
          <t>5864 (+10000 due 28/12/2026)</t>
        </is>
      </c>
      <c r="L63" s="12" t="inlineStr">
        <is>
          <t>Y</t>
        </is>
      </c>
      <c r="M63" s="8" t="inlineStr">
        <is>
          <t>2026-10-25</t>
        </is>
      </c>
      <c r="N63" s="15" t="inlineStr">
        <is>
          <t>https://au.mouser.com/c/?q=MFR-25FBF52-470R</t>
        </is>
      </c>
      <c r="O63" s="8" t="inlineStr">
        <is>
          <t>Mouser page states no GST treatment; treated as ex GST. Yageo 1/4 W 1% metal film, bulk.</t>
        </is>
      </c>
      <c r="P63" s="8">
        <f>IFERROR(VLOOKUP($A63,BOM!$A$2:$E$51,5,0),0)</f>
        <v/>
      </c>
      <c r="Q63" s="8">
        <f>CEILING($P63*Assumptions!$B$4/$D63,1)</f>
        <v/>
      </c>
      <c r="R63" s="8">
        <f>CEILING($P63*Assumptions!$B$5/$D63,1)</f>
        <v/>
      </c>
      <c r="S63" s="8">
        <f>CEILING($P63*Assumptions!$B$6/$D63,1)</f>
        <v/>
      </c>
      <c r="T63" s="7">
        <f>IF(ISNUMBER($E63),$E63*(1+IF($J63="Y",0,Assumptions!$B$3)),"")</f>
        <v/>
      </c>
      <c r="U63" s="7">
        <f>IF(ISNUMBER($E63),IF(AND(ISNUMBER($G63),ISNUMBER($F63)),IF($F63&lt;=$R63,$G63,$E63),$E63)*(1+IF($J63="Y",0,Assumptions!$B$3)),"")</f>
        <v/>
      </c>
      <c r="V63" s="7">
        <f>IF(ISNUMBER($E63),IF(AND(ISNUMBER($I63),ISNUMBER($H63)),IF($H63&lt;=$S63,$I63,IF(AND(ISNUMBER($G63),ISNUMBER($F63)),IF($F63&lt;=$S63,$G63,$E63),$E63)),IF(AND(ISNUMBER($G63),ISNUMBER($F63)),IF($F63&lt;=$S63,$G63,$E63),$E63))*(1+IF($J63="Y",0,Assumptions!$B$3)),"")</f>
        <v/>
      </c>
      <c r="W63" s="7">
        <f>IF(ISNUMBER($T63),$Q63*$T63/Assumptions!$B$4,"")</f>
        <v/>
      </c>
      <c r="X63" s="7">
        <f>IF(ISNUMBER($U63),$R63*$U63/Assumptions!$B$5,"")</f>
        <v/>
      </c>
      <c r="Y63" s="7">
        <f>IF(ISNUMBER($V63),$S63*$V63/Assumptions!$B$6,"")</f>
        <v/>
      </c>
      <c r="Z63" s="8">
        <f>$A63&amp;"|"&amp;IF(ISNUMBER($W63),TEXT($W63,"0.0000"),"x")&amp;"|"&amp;$L63</f>
        <v/>
      </c>
      <c r="AA63" s="8">
        <f>$A63&amp;"|"&amp;IF(ISNUMBER($Y63),TEXT($Y63,"0.0000"),"x")&amp;"|"&amp;$L63</f>
        <v/>
      </c>
    </row>
    <row r="64">
      <c r="A64" s="8" t="inlineStr">
        <is>
          <t>R470</t>
        </is>
      </c>
      <c r="B64" s="8" t="inlineStr">
        <is>
          <t>element14 Australia</t>
        </is>
      </c>
      <c r="C64" s="8" t="inlineStr">
        <is>
          <t>MFR-25FTE52-470R (order code 4553244)</t>
        </is>
      </c>
      <c r="D64" s="12" t="n">
        <v>1</v>
      </c>
      <c r="E64" s="14" t="n">
        <v>0.147</v>
      </c>
      <c r="F64" s="12" t="n">
        <v>25</v>
      </c>
      <c r="G64" s="14" t="n">
        <v>0.048</v>
      </c>
      <c r="H64" s="12" t="n">
        <v>100</v>
      </c>
      <c r="I64" s="14" t="n">
        <v>0.042</v>
      </c>
      <c r="J64" s="12" t="inlineStr">
        <is>
          <t>N</t>
        </is>
      </c>
      <c r="K64" s="8" t="inlineStr">
        <is>
          <t>in stock (qty not shown)</t>
        </is>
      </c>
      <c r="L64" s="12" t="inlineStr">
        <is>
          <t>Y</t>
        </is>
      </c>
      <c r="M64" s="8" t="inlineStr">
        <is>
          <t>2026-10-25</t>
        </is>
      </c>
      <c r="N64" s="15" t="inlineStr">
        <is>
          <t>https://au.element14.com/w/search?st=MFR-25FTE52-470R</t>
        </is>
      </c>
      <c r="O64" s="8" t="inlineStr">
        <is>
          <t>element14 shows ex GST with incl-GST in brackets; ex-GST figures recorded. Yageo 470R 0.25 W 1%, cut tape. No 10 break; 25+. Order code 3496932 (same MPN) 10+ 0.061, 100+ 0.040.</t>
        </is>
      </c>
      <c r="P64" s="8">
        <f>IFERROR(VLOOKUP($A64,BOM!$A$2:$E$51,5,0),0)</f>
        <v/>
      </c>
      <c r="Q64" s="8">
        <f>CEILING($P64*Assumptions!$B$4/$D64,1)</f>
        <v/>
      </c>
      <c r="R64" s="8">
        <f>CEILING($P64*Assumptions!$B$5/$D64,1)</f>
        <v/>
      </c>
      <c r="S64" s="8">
        <f>CEILING($P64*Assumptions!$B$6/$D64,1)</f>
        <v/>
      </c>
      <c r="T64" s="7">
        <f>IF(ISNUMBER($E64),$E64*(1+IF($J64="Y",0,Assumptions!$B$3)),"")</f>
        <v/>
      </c>
      <c r="U64" s="7">
        <f>IF(ISNUMBER($E64),IF(AND(ISNUMBER($G64),ISNUMBER($F64)),IF($F64&lt;=$R64,$G64,$E64),$E64)*(1+IF($J64="Y",0,Assumptions!$B$3)),"")</f>
        <v/>
      </c>
      <c r="V64" s="7">
        <f>IF(ISNUMBER($E64),IF(AND(ISNUMBER($I64),ISNUMBER($H64)),IF($H64&lt;=$S64,$I64,IF(AND(ISNUMBER($G64),ISNUMBER($F64)),IF($F64&lt;=$S64,$G64,$E64),$E64)),IF(AND(ISNUMBER($G64),ISNUMBER($F64)),IF($F64&lt;=$S64,$G64,$E64),$E64))*(1+IF($J64="Y",0,Assumptions!$B$3)),"")</f>
        <v/>
      </c>
      <c r="W64" s="7">
        <f>IF(ISNUMBER($T64),$Q64*$T64/Assumptions!$B$4,"")</f>
        <v/>
      </c>
      <c r="X64" s="7">
        <f>IF(ISNUMBER($U64),$R64*$U64/Assumptions!$B$5,"")</f>
        <v/>
      </c>
      <c r="Y64" s="7">
        <f>IF(ISNUMBER($V64),$S64*$V64/Assumptions!$B$6,"")</f>
        <v/>
      </c>
      <c r="Z64" s="8">
        <f>$A64&amp;"|"&amp;IF(ISNUMBER($W64),TEXT($W64,"0.0000"),"x")&amp;"|"&amp;$L64</f>
        <v/>
      </c>
      <c r="AA64" s="8">
        <f>$A64&amp;"|"&amp;IF(ISNUMBER($Y64),TEXT($Y64,"0.0000"),"x")&amp;"|"&amp;$L64</f>
        <v/>
      </c>
    </row>
    <row r="65">
      <c r="A65" s="8" t="inlineStr">
        <is>
          <t>RN8</t>
        </is>
      </c>
      <c r="B65" s="8" t="inlineStr">
        <is>
          <t>Mouser Australia</t>
        </is>
      </c>
      <c r="C65" s="8" t="inlineStr">
        <is>
          <t>4609X-101-103LF (652-4609X-1LF-10K)</t>
        </is>
      </c>
      <c r="D65" s="12" t="n">
        <v>1</v>
      </c>
      <c r="E65" s="14" t="n">
        <v>0.5659999999999999</v>
      </c>
      <c r="F65" s="12" t="n">
        <v>10</v>
      </c>
      <c r="G65" s="14" t="n">
        <v>0.361</v>
      </c>
      <c r="H65" s="12" t="n">
        <v>100</v>
      </c>
      <c r="I65" s="14" t="n">
        <v>0.209</v>
      </c>
      <c r="J65" s="12" t="inlineStr">
        <is>
          <t>N</t>
        </is>
      </c>
      <c r="K65" s="8" t="inlineStr">
        <is>
          <t>64055</t>
        </is>
      </c>
      <c r="L65" s="12" t="inlineStr">
        <is>
          <t>Y</t>
        </is>
      </c>
      <c r="M65" s="8" t="inlineStr">
        <is>
          <t>2026-10-25</t>
        </is>
      </c>
      <c r="N65" s="15" t="inlineStr">
        <is>
          <t>https://au.mouser.com/c/?q=4609X-101-103LF</t>
        </is>
      </c>
      <c r="O65" s="8" t="inlineStr">
        <is>
          <t>Mouser page states no GST treatment; treated as ex GST. Bourns SIP-9 bussed 8x10k, bulk.</t>
        </is>
      </c>
      <c r="P65" s="8">
        <f>IFERROR(VLOOKUP($A65,BOM!$A$2:$E$51,5,0),0)</f>
        <v/>
      </c>
      <c r="Q65" s="8">
        <f>CEILING($P65*Assumptions!$B$4/$D65,1)</f>
        <v/>
      </c>
      <c r="R65" s="8">
        <f>CEILING($P65*Assumptions!$B$5/$D65,1)</f>
        <v/>
      </c>
      <c r="S65" s="8">
        <f>CEILING($P65*Assumptions!$B$6/$D65,1)</f>
        <v/>
      </c>
      <c r="T65" s="7">
        <f>IF(ISNUMBER($E65),$E65*(1+IF($J65="Y",0,Assumptions!$B$3)),"")</f>
        <v/>
      </c>
      <c r="U65" s="7">
        <f>IF(ISNUMBER($E65),IF(AND(ISNUMBER($G65),ISNUMBER($F65)),IF($F65&lt;=$R65,$G65,$E65),$E65)*(1+IF($J65="Y",0,Assumptions!$B$3)),"")</f>
        <v/>
      </c>
      <c r="V65" s="7">
        <f>IF(ISNUMBER($E65),IF(AND(ISNUMBER($I65),ISNUMBER($H65)),IF($H65&lt;=$S65,$I65,IF(AND(ISNUMBER($G65),ISNUMBER($F65)),IF($F65&lt;=$S65,$G65,$E65),$E65)),IF(AND(ISNUMBER($G65),ISNUMBER($F65)),IF($F65&lt;=$S65,$G65,$E65),$E65))*(1+IF($J65="Y",0,Assumptions!$B$3)),"")</f>
        <v/>
      </c>
      <c r="W65" s="7">
        <f>IF(ISNUMBER($T65),$Q65*$T65/Assumptions!$B$4,"")</f>
        <v/>
      </c>
      <c r="X65" s="7">
        <f>IF(ISNUMBER($U65),$R65*$U65/Assumptions!$B$5,"")</f>
        <v/>
      </c>
      <c r="Y65" s="7">
        <f>IF(ISNUMBER($V65),$S65*$V65/Assumptions!$B$6,"")</f>
        <v/>
      </c>
      <c r="Z65" s="8">
        <f>$A65&amp;"|"&amp;IF(ISNUMBER($W65),TEXT($W65,"0.0000"),"x")&amp;"|"&amp;$L65</f>
        <v/>
      </c>
      <c r="AA65" s="8">
        <f>$A65&amp;"|"&amp;IF(ISNUMBER($Y65),TEXT($Y65,"0.0000"),"x")&amp;"|"&amp;$L65</f>
        <v/>
      </c>
    </row>
    <row r="66">
      <c r="A66" s="8" t="inlineStr">
        <is>
          <t>RN8</t>
        </is>
      </c>
      <c r="B66" s="8" t="inlineStr">
        <is>
          <t>element14 Australia</t>
        </is>
      </c>
      <c r="C66" s="8" t="inlineStr">
        <is>
          <t>4609X-101-103LF (order code 9356819)</t>
        </is>
      </c>
      <c r="D66" s="12" t="n">
        <v>1</v>
      </c>
      <c r="E66" s="14" t="n">
        <v>0.5659999999999999</v>
      </c>
      <c r="F66" s="12" t="n">
        <v>50</v>
      </c>
      <c r="G66" s="14" t="n">
        <v>0.272</v>
      </c>
      <c r="H66" s="12" t="n">
        <v>100</v>
      </c>
      <c r="I66" s="14" t="n">
        <v>0.205</v>
      </c>
      <c r="J66" s="12" t="inlineStr">
        <is>
          <t>N</t>
        </is>
      </c>
      <c r="K66" s="8" t="inlineStr">
        <is>
          <t>50724 (+20000 incoming)</t>
        </is>
      </c>
      <c r="L66" s="12" t="inlineStr">
        <is>
          <t>Y</t>
        </is>
      </c>
      <c r="M66" s="8" t="inlineStr">
        <is>
          <t>2026-10-25</t>
        </is>
      </c>
      <c r="N66" s="15" t="inlineStr">
        <is>
          <t>https://au.element14.com/w/search?st=4609X-101-103LF</t>
        </is>
      </c>
      <c r="O66" s="8" t="inlineStr">
        <is>
          <t>element14 shows ex GST with incl-GST in brackets; ex-GST figures recorded. No 10 break; nearest is 50+.</t>
        </is>
      </c>
      <c r="P66" s="8">
        <f>IFERROR(VLOOKUP($A66,BOM!$A$2:$E$51,5,0),0)</f>
        <v/>
      </c>
      <c r="Q66" s="8">
        <f>CEILING($P66*Assumptions!$B$4/$D66,1)</f>
        <v/>
      </c>
      <c r="R66" s="8">
        <f>CEILING($P66*Assumptions!$B$5/$D66,1)</f>
        <v/>
      </c>
      <c r="S66" s="8">
        <f>CEILING($P66*Assumptions!$B$6/$D66,1)</f>
        <v/>
      </c>
      <c r="T66" s="7">
        <f>IF(ISNUMBER($E66),$E66*(1+IF($J66="Y",0,Assumptions!$B$3)),"")</f>
        <v/>
      </c>
      <c r="U66" s="7">
        <f>IF(ISNUMBER($E66),IF(AND(ISNUMBER($G66),ISNUMBER($F66)),IF($F66&lt;=$R66,$G66,$E66),$E66)*(1+IF($J66="Y",0,Assumptions!$B$3)),"")</f>
        <v/>
      </c>
      <c r="V66" s="7">
        <f>IF(ISNUMBER($E66),IF(AND(ISNUMBER($I66),ISNUMBER($H66)),IF($H66&lt;=$S66,$I66,IF(AND(ISNUMBER($G66),ISNUMBER($F66)),IF($F66&lt;=$S66,$G66,$E66),$E66)),IF(AND(ISNUMBER($G66),ISNUMBER($F66)),IF($F66&lt;=$S66,$G66,$E66),$E66))*(1+IF($J66="Y",0,Assumptions!$B$3)),"")</f>
        <v/>
      </c>
      <c r="W66" s="7">
        <f>IF(ISNUMBER($T66),$Q66*$T66/Assumptions!$B$4,"")</f>
        <v/>
      </c>
      <c r="X66" s="7">
        <f>IF(ISNUMBER($U66),$R66*$U66/Assumptions!$B$5,"")</f>
        <v/>
      </c>
      <c r="Y66" s="7">
        <f>IF(ISNUMBER($V66),$S66*$V66/Assumptions!$B$6,"")</f>
        <v/>
      </c>
      <c r="Z66" s="8">
        <f>$A66&amp;"|"&amp;IF(ISNUMBER($W66),TEXT($W66,"0.0000"),"x")&amp;"|"&amp;$L66</f>
        <v/>
      </c>
      <c r="AA66" s="8">
        <f>$A66&amp;"|"&amp;IF(ISNUMBER($Y66),TEXT($Y66,"0.0000"),"x")&amp;"|"&amp;$L66</f>
        <v/>
      </c>
    </row>
    <row r="67">
      <c r="A67" s="8" t="inlineStr">
        <is>
          <t>RN4</t>
        </is>
      </c>
      <c r="B67" s="8" t="inlineStr">
        <is>
          <t>Mouser Australia</t>
        </is>
      </c>
      <c r="C67" s="8" t="inlineStr">
        <is>
          <t>4605X-101-103LF (652-4605X-1LF-10K)</t>
        </is>
      </c>
      <c r="D67" s="12" t="n">
        <v>1</v>
      </c>
      <c r="E67" s="14" t="n">
        <v>0.493</v>
      </c>
      <c r="F67" s="12" t="n">
        <v>10</v>
      </c>
      <c r="G67" s="14" t="n">
        <v>0.307</v>
      </c>
      <c r="H67" s="12" t="n">
        <v>100</v>
      </c>
      <c r="I67" s="14" t="n">
        <v>0.197</v>
      </c>
      <c r="J67" s="12" t="inlineStr">
        <is>
          <t>N</t>
        </is>
      </c>
      <c r="K67" s="8" t="inlineStr">
        <is>
          <t>11781 (+32000 on order)</t>
        </is>
      </c>
      <c r="L67" s="12" t="inlineStr">
        <is>
          <t>Y</t>
        </is>
      </c>
      <c r="M67" s="8" t="inlineStr">
        <is>
          <t>2026-10-25</t>
        </is>
      </c>
      <c r="N67" s="15" t="inlineStr">
        <is>
          <t>https://au.mouser.com/c/?q=4605X-101-103LF</t>
        </is>
      </c>
      <c r="O67" s="8" t="inlineStr">
        <is>
          <t>Mouser page states no GST treatment; treated as ex GST. Bourns SIP-5 bussed 4x10k, bulk.</t>
        </is>
      </c>
      <c r="P67" s="8">
        <f>IFERROR(VLOOKUP($A67,BOM!$A$2:$E$51,5,0),0)</f>
        <v/>
      </c>
      <c r="Q67" s="8">
        <f>CEILING($P67*Assumptions!$B$4/$D67,1)</f>
        <v/>
      </c>
      <c r="R67" s="8">
        <f>CEILING($P67*Assumptions!$B$5/$D67,1)</f>
        <v/>
      </c>
      <c r="S67" s="8">
        <f>CEILING($P67*Assumptions!$B$6/$D67,1)</f>
        <v/>
      </c>
      <c r="T67" s="7">
        <f>IF(ISNUMBER($E67),$E67*(1+IF($J67="Y",0,Assumptions!$B$3)),"")</f>
        <v/>
      </c>
      <c r="U67" s="7">
        <f>IF(ISNUMBER($E67),IF(AND(ISNUMBER($G67),ISNUMBER($F67)),IF($F67&lt;=$R67,$G67,$E67),$E67)*(1+IF($J67="Y",0,Assumptions!$B$3)),"")</f>
        <v/>
      </c>
      <c r="V67" s="7">
        <f>IF(ISNUMBER($E67),IF(AND(ISNUMBER($I67),ISNUMBER($H67)),IF($H67&lt;=$S67,$I67,IF(AND(ISNUMBER($G67),ISNUMBER($F67)),IF($F67&lt;=$S67,$G67,$E67),$E67)),IF(AND(ISNUMBER($G67),ISNUMBER($F67)),IF($F67&lt;=$S67,$G67,$E67),$E67))*(1+IF($J67="Y",0,Assumptions!$B$3)),"")</f>
        <v/>
      </c>
      <c r="W67" s="7">
        <f>IF(ISNUMBER($T67),$Q67*$T67/Assumptions!$B$4,"")</f>
        <v/>
      </c>
      <c r="X67" s="7">
        <f>IF(ISNUMBER($U67),$R67*$U67/Assumptions!$B$5,"")</f>
        <v/>
      </c>
      <c r="Y67" s="7">
        <f>IF(ISNUMBER($V67),$S67*$V67/Assumptions!$B$6,"")</f>
        <v/>
      </c>
      <c r="Z67" s="8">
        <f>$A67&amp;"|"&amp;IF(ISNUMBER($W67),TEXT($W67,"0.0000"),"x")&amp;"|"&amp;$L67</f>
        <v/>
      </c>
      <c r="AA67" s="8">
        <f>$A67&amp;"|"&amp;IF(ISNUMBER($Y67),TEXT($Y67,"0.0000"),"x")&amp;"|"&amp;$L67</f>
        <v/>
      </c>
    </row>
    <row r="68">
      <c r="A68" s="8" t="inlineStr">
        <is>
          <t>RN4</t>
        </is>
      </c>
      <c r="B68" s="8" t="inlineStr">
        <is>
          <t>element14 Australia</t>
        </is>
      </c>
      <c r="C68" s="8" t="inlineStr">
        <is>
          <t>4605X-101-103LF (order code 9356061)</t>
        </is>
      </c>
      <c r="D68" s="12" t="n">
        <v>1</v>
      </c>
      <c r="E68" s="14" t="n">
        <v>0.407</v>
      </c>
      <c r="F68" s="12" t="n">
        <v>50</v>
      </c>
      <c r="G68" s="14" t="n">
        <v>0.192</v>
      </c>
      <c r="H68" s="12" t="n">
        <v>100</v>
      </c>
      <c r="I68" s="14" t="n">
        <v>0.153</v>
      </c>
      <c r="J68" s="12" t="inlineStr">
        <is>
          <t>N</t>
        </is>
      </c>
      <c r="K68" s="8" t="inlineStr">
        <is>
          <t>19425</t>
        </is>
      </c>
      <c r="L68" s="12" t="inlineStr">
        <is>
          <t>Y</t>
        </is>
      </c>
      <c r="M68" s="8" t="inlineStr">
        <is>
          <t>2026-10-25</t>
        </is>
      </c>
      <c r="N68" s="15" t="inlineStr">
        <is>
          <t>https://au.element14.com/w/search?st=4605X-101-103LF</t>
        </is>
      </c>
      <c r="O68" s="8" t="inlineStr">
        <is>
          <t>element14 shows ex GST with incl-GST in brackets; ex-GST figures recorded. No 10 break; nearest 50+. 18 wk lead.</t>
        </is>
      </c>
      <c r="P68" s="8">
        <f>IFERROR(VLOOKUP($A68,BOM!$A$2:$E$51,5,0),0)</f>
        <v/>
      </c>
      <c r="Q68" s="8">
        <f>CEILING($P68*Assumptions!$B$4/$D68,1)</f>
        <v/>
      </c>
      <c r="R68" s="8">
        <f>CEILING($P68*Assumptions!$B$5/$D68,1)</f>
        <v/>
      </c>
      <c r="S68" s="8">
        <f>CEILING($P68*Assumptions!$B$6/$D68,1)</f>
        <v/>
      </c>
      <c r="T68" s="7">
        <f>IF(ISNUMBER($E68),$E68*(1+IF($J68="Y",0,Assumptions!$B$3)),"")</f>
        <v/>
      </c>
      <c r="U68" s="7">
        <f>IF(ISNUMBER($E68),IF(AND(ISNUMBER($G68),ISNUMBER($F68)),IF($F68&lt;=$R68,$G68,$E68),$E68)*(1+IF($J68="Y",0,Assumptions!$B$3)),"")</f>
        <v/>
      </c>
      <c r="V68" s="7">
        <f>IF(ISNUMBER($E68),IF(AND(ISNUMBER($I68),ISNUMBER($H68)),IF($H68&lt;=$S68,$I68,IF(AND(ISNUMBER($G68),ISNUMBER($F68)),IF($F68&lt;=$S68,$G68,$E68),$E68)),IF(AND(ISNUMBER($G68),ISNUMBER($F68)),IF($F68&lt;=$S68,$G68,$E68),$E68))*(1+IF($J68="Y",0,Assumptions!$B$3)),"")</f>
        <v/>
      </c>
      <c r="W68" s="7">
        <f>IF(ISNUMBER($T68),$Q68*$T68/Assumptions!$B$4,"")</f>
        <v/>
      </c>
      <c r="X68" s="7">
        <f>IF(ISNUMBER($U68),$R68*$U68/Assumptions!$B$5,"")</f>
        <v/>
      </c>
      <c r="Y68" s="7">
        <f>IF(ISNUMBER($V68),$S68*$V68/Assumptions!$B$6,"")</f>
        <v/>
      </c>
      <c r="Z68" s="8">
        <f>$A68&amp;"|"&amp;IF(ISNUMBER($W68),TEXT($W68,"0.0000"),"x")&amp;"|"&amp;$L68</f>
        <v/>
      </c>
      <c r="AA68" s="8">
        <f>$A68&amp;"|"&amp;IF(ISNUMBER($Y68),TEXT($Y68,"0.0000"),"x")&amp;"|"&amp;$L68</f>
        <v/>
      </c>
    </row>
    <row r="69">
      <c r="A69" s="8" t="inlineStr">
        <is>
          <t>C01</t>
        </is>
      </c>
      <c r="B69" s="8" t="inlineStr">
        <is>
          <t>Core Electronics</t>
        </is>
      </c>
      <c r="C69" s="8" t="inlineStr">
        <is>
          <t>CE05188</t>
        </is>
      </c>
      <c r="D69" s="12" t="n">
        <v>1</v>
      </c>
      <c r="E69" s="14" t="n">
        <v>0.36</v>
      </c>
      <c r="F69" s="12" t="n">
        <v>10</v>
      </c>
      <c r="G69" s="14" t="n">
        <v>0.35</v>
      </c>
      <c r="H69" s="12" t="n">
        <v>25</v>
      </c>
      <c r="I69" s="14" t="n">
        <v>0.34</v>
      </c>
      <c r="J69" s="12" t="inlineStr">
        <is>
          <t>N</t>
        </is>
      </c>
      <c r="K69" s="8" t="inlineStr">
        <is>
          <t>135 local</t>
        </is>
      </c>
      <c r="L69" s="12" t="inlineStr">
        <is>
          <t>Y</t>
        </is>
      </c>
      <c r="M69" s="8" t="inlineStr">
        <is>
          <t>2026-10-24</t>
        </is>
      </c>
      <c r="N69" s="15" t="inlineStr">
        <is>
          <t>https://core-electronics.com.au/100nf-ceramic-disc-capacitor.html</t>
        </is>
      </c>
      <c r="O69" s="8" t="inlineStr">
        <is>
          <t>100 nF 50 V ceramic disc, single. Breaks 10+ 0.35, 25+ 0.34 (no 100 break). $0.40 inc GST. Core Electronics: q1 and breaks recorded ex GST (page shows q1 inc GST as well).</t>
        </is>
      </c>
      <c r="P69" s="8">
        <f>IFERROR(VLOOKUP($A69,BOM!$A$2:$E$51,5,0),0)</f>
        <v/>
      </c>
      <c r="Q69" s="8">
        <f>CEILING($P69*Assumptions!$B$4/$D69,1)</f>
        <v/>
      </c>
      <c r="R69" s="8">
        <f>CEILING($P69*Assumptions!$B$5/$D69,1)</f>
        <v/>
      </c>
      <c r="S69" s="8">
        <f>CEILING($P69*Assumptions!$B$6/$D69,1)</f>
        <v/>
      </c>
      <c r="T69" s="7">
        <f>IF(ISNUMBER($E69),$E69*(1+IF($J69="Y",0,Assumptions!$B$3)),"")</f>
        <v/>
      </c>
      <c r="U69" s="7">
        <f>IF(ISNUMBER($E69),IF(AND(ISNUMBER($G69),ISNUMBER($F69)),IF($F69&lt;=$R69,$G69,$E69),$E69)*(1+IF($J69="Y",0,Assumptions!$B$3)),"")</f>
        <v/>
      </c>
      <c r="V69" s="7">
        <f>IF(ISNUMBER($E69),IF(AND(ISNUMBER($I69),ISNUMBER($H69)),IF($H69&lt;=$S69,$I69,IF(AND(ISNUMBER($G69),ISNUMBER($F69)),IF($F69&lt;=$S69,$G69,$E69),$E69)),IF(AND(ISNUMBER($G69),ISNUMBER($F69)),IF($F69&lt;=$S69,$G69,$E69),$E69))*(1+IF($J69="Y",0,Assumptions!$B$3)),"")</f>
        <v/>
      </c>
      <c r="W69" s="7">
        <f>IF(ISNUMBER($T69),$Q69*$T69/Assumptions!$B$4,"")</f>
        <v/>
      </c>
      <c r="X69" s="7">
        <f>IF(ISNUMBER($U69),$R69*$U69/Assumptions!$B$5,"")</f>
        <v/>
      </c>
      <c r="Y69" s="7">
        <f>IF(ISNUMBER($V69),$S69*$V69/Assumptions!$B$6,"")</f>
        <v/>
      </c>
      <c r="Z69" s="8">
        <f>$A69&amp;"|"&amp;IF(ISNUMBER($W69),TEXT($W69,"0.0000"),"x")&amp;"|"&amp;$L69</f>
        <v/>
      </c>
      <c r="AA69" s="8">
        <f>$A69&amp;"|"&amp;IF(ISNUMBER($Y69),TEXT($Y69,"0.0000"),"x")&amp;"|"&amp;$L69</f>
        <v/>
      </c>
    </row>
    <row r="70">
      <c r="A70" s="8" t="inlineStr">
        <is>
          <t>C01</t>
        </is>
      </c>
      <c r="B70" s="8" t="inlineStr">
        <is>
          <t>Jaycar</t>
        </is>
      </c>
      <c r="C70" s="8" t="inlineStr">
        <is>
          <t>RC5496</t>
        </is>
      </c>
      <c r="D70" s="12" t="n">
        <v>100</v>
      </c>
      <c r="E70" s="14" t="n">
        <v>11.95</v>
      </c>
      <c r="F70" s="12" t="n">
        <v>25</v>
      </c>
      <c r="G70" s="14" t="n">
        <v>7.95</v>
      </c>
      <c r="H70" s="12" t="n">
        <v>100</v>
      </c>
      <c r="I70" s="14" t="n">
        <v>6.95</v>
      </c>
      <c r="J70" s="12" t="inlineStr">
        <is>
          <t>Y</t>
        </is>
      </c>
      <c r="K70" s="8" t="inlineStr">
        <is>
          <t>not shown (store select)</t>
        </is>
      </c>
      <c r="L70" s="12" t="inlineStr">
        <is>
          <t>Y</t>
        </is>
      </c>
      <c r="M70" s="8" t="inlineStr">
        <is>
          <t>2026-10-24</t>
        </is>
      </c>
      <c r="N70" s="15" t="inlineStr">
        <is>
          <t>https://jaycar.com.au/p/RC5496</t>
        </is>
      </c>
      <c r="O70" s="8" t="inlineStr">
        <is>
          <t>0.1 uF 50 V monolithic, pack of 100, 5.0 mm pitch THT. Tiers per pack: 25-99 $7.95, 100+ $6.95 (no 10 break). GST not stated on page (treated as incl.).</t>
        </is>
      </c>
      <c r="P70" s="8">
        <f>IFERROR(VLOOKUP($A70,BOM!$A$2:$E$51,5,0),0)</f>
        <v/>
      </c>
      <c r="Q70" s="8">
        <f>CEILING($P70*Assumptions!$B$4/$D70,1)</f>
        <v/>
      </c>
      <c r="R70" s="8">
        <f>CEILING($P70*Assumptions!$B$5/$D70,1)</f>
        <v/>
      </c>
      <c r="S70" s="8">
        <f>CEILING($P70*Assumptions!$B$6/$D70,1)</f>
        <v/>
      </c>
      <c r="T70" s="7">
        <f>IF(ISNUMBER($E70),$E70*(1+IF($J70="Y",0,Assumptions!$B$3)),"")</f>
        <v/>
      </c>
      <c r="U70" s="7">
        <f>IF(ISNUMBER($E70),IF(AND(ISNUMBER($G70),ISNUMBER($F70)),IF($F70&lt;=$R70,$G70,$E70),$E70)*(1+IF($J70="Y",0,Assumptions!$B$3)),"")</f>
        <v/>
      </c>
      <c r="V70" s="7">
        <f>IF(ISNUMBER($E70),IF(AND(ISNUMBER($I70),ISNUMBER($H70)),IF($H70&lt;=$S70,$I70,IF(AND(ISNUMBER($G70),ISNUMBER($F70)),IF($F70&lt;=$S70,$G70,$E70),$E70)),IF(AND(ISNUMBER($G70),ISNUMBER($F70)),IF($F70&lt;=$S70,$G70,$E70),$E70))*(1+IF($J70="Y",0,Assumptions!$B$3)),"")</f>
        <v/>
      </c>
      <c r="W70" s="7">
        <f>IF(ISNUMBER($T70),$Q70*$T70/Assumptions!$B$4,"")</f>
        <v/>
      </c>
      <c r="X70" s="7">
        <f>IF(ISNUMBER($U70),$R70*$U70/Assumptions!$B$5,"")</f>
        <v/>
      </c>
      <c r="Y70" s="7">
        <f>IF(ISNUMBER($V70),$S70*$V70/Assumptions!$B$6,"")</f>
        <v/>
      </c>
      <c r="Z70" s="8">
        <f>$A70&amp;"|"&amp;IF(ISNUMBER($W70),TEXT($W70,"0.0000"),"x")&amp;"|"&amp;$L70</f>
        <v/>
      </c>
      <c r="AA70" s="8">
        <f>$A70&amp;"|"&amp;IF(ISNUMBER($Y70),TEXT($Y70,"0.0000"),"x")&amp;"|"&amp;$L70</f>
        <v/>
      </c>
    </row>
    <row r="71">
      <c r="A71" s="8" t="inlineStr">
        <is>
          <t>C10n</t>
        </is>
      </c>
      <c r="B71" s="8" t="inlineStr">
        <is>
          <t>Mouser Australia</t>
        </is>
      </c>
      <c r="C71" s="8" t="inlineStr">
        <is>
          <t>K103K15X7RF53L2 (594-K103K15X7RF53L2)</t>
        </is>
      </c>
      <c r="D71" s="12" t="n">
        <v>1</v>
      </c>
      <c r="E71" s="14" t="n">
        <v>0.319</v>
      </c>
      <c r="F71" s="12" t="n">
        <v>10</v>
      </c>
      <c r="G71" s="14" t="n">
        <v>0.148</v>
      </c>
      <c r="H71" s="12" t="n">
        <v>100</v>
      </c>
      <c r="I71" s="14" t="n">
        <v>0.131</v>
      </c>
      <c r="J71" s="12" t="inlineStr">
        <is>
          <t>N</t>
        </is>
      </c>
      <c r="K71" s="8" t="inlineStr">
        <is>
          <t>22480</t>
        </is>
      </c>
      <c r="L71" s="12" t="inlineStr">
        <is>
          <t>Y</t>
        </is>
      </c>
      <c r="M71" s="8" t="inlineStr">
        <is>
          <t>2026-10-25</t>
        </is>
      </c>
      <c r="N71" s="15" t="inlineStr">
        <is>
          <t>https://au.mouser.com/c/?q=K103K15X7RF5TL2</t>
        </is>
      </c>
      <c r="O71" s="8" t="inlineStr">
        <is>
          <t>Mouser page states no GST treatment; treated as ex GST. Vishay 10 nF 50 V X7R, 2.5 mm (0.1 in) lead spacing, bulk. Same page: K103K15X7RF5TL2 (reel/cut tape) 66083 stock 0.406/0.168/0.139.</t>
        </is>
      </c>
      <c r="P71" s="8">
        <f>IFERROR(VLOOKUP($A71,BOM!$A$2:$E$51,5,0),0)</f>
        <v/>
      </c>
      <c r="Q71" s="8">
        <f>CEILING($P71*Assumptions!$B$4/$D71,1)</f>
        <v/>
      </c>
      <c r="R71" s="8">
        <f>CEILING($P71*Assumptions!$B$5/$D71,1)</f>
        <v/>
      </c>
      <c r="S71" s="8">
        <f>CEILING($P71*Assumptions!$B$6/$D71,1)</f>
        <v/>
      </c>
      <c r="T71" s="7">
        <f>IF(ISNUMBER($E71),$E71*(1+IF($J71="Y",0,Assumptions!$B$3)),"")</f>
        <v/>
      </c>
      <c r="U71" s="7">
        <f>IF(ISNUMBER($E71),IF(AND(ISNUMBER($G71),ISNUMBER($F71)),IF($F71&lt;=$R71,$G71,$E71),$E71)*(1+IF($J71="Y",0,Assumptions!$B$3)),"")</f>
        <v/>
      </c>
      <c r="V71" s="7">
        <f>IF(ISNUMBER($E71),IF(AND(ISNUMBER($I71),ISNUMBER($H71)),IF($H71&lt;=$S71,$I71,IF(AND(ISNUMBER($G71),ISNUMBER($F71)),IF($F71&lt;=$S71,$G71,$E71),$E71)),IF(AND(ISNUMBER($G71),ISNUMBER($F71)),IF($F71&lt;=$S71,$G71,$E71),$E71))*(1+IF($J71="Y",0,Assumptions!$B$3)),"")</f>
        <v/>
      </c>
      <c r="W71" s="7">
        <f>IF(ISNUMBER($T71),$Q71*$T71/Assumptions!$B$4,"")</f>
        <v/>
      </c>
      <c r="X71" s="7">
        <f>IF(ISNUMBER($U71),$R71*$U71/Assumptions!$B$5,"")</f>
        <v/>
      </c>
      <c r="Y71" s="7">
        <f>IF(ISNUMBER($V71),$S71*$V71/Assumptions!$B$6,"")</f>
        <v/>
      </c>
      <c r="Z71" s="8">
        <f>$A71&amp;"|"&amp;IF(ISNUMBER($W71),TEXT($W71,"0.0000"),"x")&amp;"|"&amp;$L71</f>
        <v/>
      </c>
      <c r="AA71" s="8">
        <f>$A71&amp;"|"&amp;IF(ISNUMBER($Y71),TEXT($Y71,"0.0000"),"x")&amp;"|"&amp;$L71</f>
        <v/>
      </c>
    </row>
    <row r="72">
      <c r="A72" s="8" t="inlineStr">
        <is>
          <t>C10n</t>
        </is>
      </c>
      <c r="B72" s="8" t="inlineStr">
        <is>
          <t>element14 Australia</t>
        </is>
      </c>
      <c r="C72" s="8" t="inlineStr">
        <is>
          <t>K103K15X7RF5TL2 (order code 2860092)</t>
        </is>
      </c>
      <c r="D72" s="12" t="n">
        <v>1</v>
      </c>
      <c r="E72" s="14" t="n">
        <v>0.237</v>
      </c>
      <c r="F72" s="12" t="n">
        <v>10</v>
      </c>
      <c r="G72" s="14" t="n">
        <v>0.237</v>
      </c>
      <c r="H72" s="12" t="n">
        <v>100</v>
      </c>
      <c r="I72" s="14" t="n">
        <v>0.151</v>
      </c>
      <c r="J72" s="12" t="inlineStr">
        <is>
          <t>N</t>
        </is>
      </c>
      <c r="K72" s="8" t="inlineStr">
        <is>
          <t>39417</t>
        </is>
      </c>
      <c r="L72" s="12" t="inlineStr">
        <is>
          <t>Y</t>
        </is>
      </c>
      <c r="M72" s="8" t="inlineStr">
        <is>
          <t>2026-10-25</t>
        </is>
      </c>
      <c r="N72" s="15" t="inlineStr">
        <is>
          <t>https://au.element14.com/w/search?st=K103K15X7RF5TL2</t>
        </is>
      </c>
      <c r="O72" s="8" t="inlineStr">
        <is>
          <t>element14 shows ex GST with incl-GST in brackets; ex-GST figures recorded. Min order 10, multiple 10; q1 field is 10+ price. 2.5 mm leads.</t>
        </is>
      </c>
      <c r="P72" s="8">
        <f>IFERROR(VLOOKUP($A72,BOM!$A$2:$E$51,5,0),0)</f>
        <v/>
      </c>
      <c r="Q72" s="8">
        <f>CEILING($P72*Assumptions!$B$4/$D72,1)</f>
        <v/>
      </c>
      <c r="R72" s="8">
        <f>CEILING($P72*Assumptions!$B$5/$D72,1)</f>
        <v/>
      </c>
      <c r="S72" s="8">
        <f>CEILING($P72*Assumptions!$B$6/$D72,1)</f>
        <v/>
      </c>
      <c r="T72" s="7">
        <f>IF(ISNUMBER($E72),$E72*(1+IF($J72="Y",0,Assumptions!$B$3)),"")</f>
        <v/>
      </c>
      <c r="U72" s="7">
        <f>IF(ISNUMBER($E72),IF(AND(ISNUMBER($G72),ISNUMBER($F72)),IF($F72&lt;=$R72,$G72,$E72),$E72)*(1+IF($J72="Y",0,Assumptions!$B$3)),"")</f>
        <v/>
      </c>
      <c r="V72" s="7">
        <f>IF(ISNUMBER($E72),IF(AND(ISNUMBER($I72),ISNUMBER($H72)),IF($H72&lt;=$S72,$I72,IF(AND(ISNUMBER($G72),ISNUMBER($F72)),IF($F72&lt;=$S72,$G72,$E72),$E72)),IF(AND(ISNUMBER($G72),ISNUMBER($F72)),IF($F72&lt;=$S72,$G72,$E72),$E72))*(1+IF($J72="Y",0,Assumptions!$B$3)),"")</f>
        <v/>
      </c>
      <c r="W72" s="7">
        <f>IF(ISNUMBER($T72),$Q72*$T72/Assumptions!$B$4,"")</f>
        <v/>
      </c>
      <c r="X72" s="7">
        <f>IF(ISNUMBER($U72),$R72*$U72/Assumptions!$B$5,"")</f>
        <v/>
      </c>
      <c r="Y72" s="7">
        <f>IF(ISNUMBER($V72),$S72*$V72/Assumptions!$B$6,"")</f>
        <v/>
      </c>
      <c r="Z72" s="8">
        <f>$A72&amp;"|"&amp;IF(ISNUMBER($W72),TEXT($W72,"0.0000"),"x")&amp;"|"&amp;$L72</f>
        <v/>
      </c>
      <c r="AA72" s="8">
        <f>$A72&amp;"|"&amp;IF(ISNUMBER($Y72),TEXT($Y72,"0.0000"),"x")&amp;"|"&amp;$L72</f>
        <v/>
      </c>
    </row>
    <row r="73">
      <c r="A73" s="8" t="inlineStr">
        <is>
          <t>C02</t>
        </is>
      </c>
      <c r="B73" s="8" t="inlineStr">
        <is>
          <t>Core Electronics</t>
        </is>
      </c>
      <c r="C73" s="8" t="inlineStr">
        <is>
          <t>CE05268</t>
        </is>
      </c>
      <c r="D73" s="12" t="n">
        <v>1</v>
      </c>
      <c r="E73" s="14" t="n">
        <v>0.29</v>
      </c>
      <c r="F73" s="12" t="n">
        <v>10</v>
      </c>
      <c r="G73" s="14" t="n">
        <v>0.28</v>
      </c>
      <c r="H73" s="12" t="n">
        <v>25</v>
      </c>
      <c r="I73" s="14" t="n">
        <v>0.27</v>
      </c>
      <c r="J73" s="12" t="inlineStr">
        <is>
          <t>N</t>
        </is>
      </c>
      <c r="K73" s="8" t="inlineStr">
        <is>
          <t>2 local + lead time</t>
        </is>
      </c>
      <c r="L73" s="12" t="inlineStr">
        <is>
          <t>Y</t>
        </is>
      </c>
      <c r="M73" s="8" t="inlineStr">
        <is>
          <t>2026-10-24</t>
        </is>
      </c>
      <c r="N73" s="15" t="inlineStr">
        <is>
          <t>https://core-electronics.com.au/radial-capacitor-1uf.html</t>
        </is>
      </c>
      <c r="O73" s="8" t="inlineStr">
        <is>
          <t>1 uF 50 V radial electrolytic. $0.32 inc GST. Core Electronics: q1 and breaks recorded ex GST (page shows q1 inc GST as well).</t>
        </is>
      </c>
      <c r="P73" s="8">
        <f>IFERROR(VLOOKUP($A73,BOM!$A$2:$E$51,5,0),0)</f>
        <v/>
      </c>
      <c r="Q73" s="8">
        <f>CEILING($P73*Assumptions!$B$4/$D73,1)</f>
        <v/>
      </c>
      <c r="R73" s="8">
        <f>CEILING($P73*Assumptions!$B$5/$D73,1)</f>
        <v/>
      </c>
      <c r="S73" s="8">
        <f>CEILING($P73*Assumptions!$B$6/$D73,1)</f>
        <v/>
      </c>
      <c r="T73" s="7">
        <f>IF(ISNUMBER($E73),$E73*(1+IF($J73="Y",0,Assumptions!$B$3)),"")</f>
        <v/>
      </c>
      <c r="U73" s="7">
        <f>IF(ISNUMBER($E73),IF(AND(ISNUMBER($G73),ISNUMBER($F73)),IF($F73&lt;=$R73,$G73,$E73),$E73)*(1+IF($J73="Y",0,Assumptions!$B$3)),"")</f>
        <v/>
      </c>
      <c r="V73" s="7">
        <f>IF(ISNUMBER($E73),IF(AND(ISNUMBER($I73),ISNUMBER($H73)),IF($H73&lt;=$S73,$I73,IF(AND(ISNUMBER($G73),ISNUMBER($F73)),IF($F73&lt;=$S73,$G73,$E73),$E73)),IF(AND(ISNUMBER($G73),ISNUMBER($F73)),IF($F73&lt;=$S73,$G73,$E73),$E73))*(1+IF($J73="Y",0,Assumptions!$B$3)),"")</f>
        <v/>
      </c>
      <c r="W73" s="7">
        <f>IF(ISNUMBER($T73),$Q73*$T73/Assumptions!$B$4,"")</f>
        <v/>
      </c>
      <c r="X73" s="7">
        <f>IF(ISNUMBER($U73),$R73*$U73/Assumptions!$B$5,"")</f>
        <v/>
      </c>
      <c r="Y73" s="7">
        <f>IF(ISNUMBER($V73),$S73*$V73/Assumptions!$B$6,"")</f>
        <v/>
      </c>
      <c r="Z73" s="8">
        <f>$A73&amp;"|"&amp;IF(ISNUMBER($W73),TEXT($W73,"0.0000"),"x")&amp;"|"&amp;$L73</f>
        <v/>
      </c>
      <c r="AA73" s="8">
        <f>$A73&amp;"|"&amp;IF(ISNUMBER($Y73),TEXT($Y73,"0.0000"),"x")&amp;"|"&amp;$L73</f>
        <v/>
      </c>
    </row>
    <row r="74">
      <c r="A74" s="8" t="inlineStr">
        <is>
          <t>C02</t>
        </is>
      </c>
      <c r="B74" s="8" t="inlineStr">
        <is>
          <t>Jaycar</t>
        </is>
      </c>
      <c r="C74" s="8" t="inlineStr">
        <is>
          <t>RE6032</t>
        </is>
      </c>
      <c r="D74" s="12" t="n">
        <v>1</v>
      </c>
      <c r="E74" s="14" t="n">
        <v>0.3</v>
      </c>
      <c r="F74" s="12" t="n"/>
      <c r="G74" s="14" t="n"/>
      <c r="H74" s="12" t="n"/>
      <c r="I74" s="14" t="n"/>
      <c r="J74" s="12" t="inlineStr">
        <is>
          <t>Y</t>
        </is>
      </c>
      <c r="K74" s="8" t="inlineStr">
        <is>
          <t>not shown (store select)</t>
        </is>
      </c>
      <c r="L74" s="12" t="inlineStr">
        <is>
          <t>Y</t>
        </is>
      </c>
      <c r="M74" s="8" t="inlineStr">
        <is>
          <t>2026-10-24</t>
        </is>
      </c>
      <c r="N74" s="15" t="inlineStr">
        <is>
          <t>https://jaycar.com.au/p/RE6032</t>
        </is>
      </c>
      <c r="O74" s="8" t="inlineStr">
        <is>
          <t>1 uF 63 V electrolytic RB. Jaycar page price; GST not stated on page (retail shelf price, treated as incl. GST). Stock needs store selection; bulk tiers not shown.</t>
        </is>
      </c>
      <c r="P74" s="8">
        <f>IFERROR(VLOOKUP($A74,BOM!$A$2:$E$51,5,0),0)</f>
        <v/>
      </c>
      <c r="Q74" s="8">
        <f>CEILING($P74*Assumptions!$B$4/$D74,1)</f>
        <v/>
      </c>
      <c r="R74" s="8">
        <f>CEILING($P74*Assumptions!$B$5/$D74,1)</f>
        <v/>
      </c>
      <c r="S74" s="8">
        <f>CEILING($P74*Assumptions!$B$6/$D74,1)</f>
        <v/>
      </c>
      <c r="T74" s="7">
        <f>IF(ISNUMBER($E74),$E74*(1+IF($J74="Y",0,Assumptions!$B$3)),"")</f>
        <v/>
      </c>
      <c r="U74" s="7">
        <f>IF(ISNUMBER($E74),IF(AND(ISNUMBER($G74),ISNUMBER($F74)),IF($F74&lt;=$R74,$G74,$E74),$E74)*(1+IF($J74="Y",0,Assumptions!$B$3)),"")</f>
        <v/>
      </c>
      <c r="V74" s="7">
        <f>IF(ISNUMBER($E74),IF(AND(ISNUMBER($I74),ISNUMBER($H74)),IF($H74&lt;=$S74,$I74,IF(AND(ISNUMBER($G74),ISNUMBER($F74)),IF($F74&lt;=$S74,$G74,$E74),$E74)),IF(AND(ISNUMBER($G74),ISNUMBER($F74)),IF($F74&lt;=$S74,$G74,$E74),$E74))*(1+IF($J74="Y",0,Assumptions!$B$3)),"")</f>
        <v/>
      </c>
      <c r="W74" s="7">
        <f>IF(ISNUMBER($T74),$Q74*$T74/Assumptions!$B$4,"")</f>
        <v/>
      </c>
      <c r="X74" s="7">
        <f>IF(ISNUMBER($U74),$R74*$U74/Assumptions!$B$5,"")</f>
        <v/>
      </c>
      <c r="Y74" s="7">
        <f>IF(ISNUMBER($V74),$S74*$V74/Assumptions!$B$6,"")</f>
        <v/>
      </c>
      <c r="Z74" s="8">
        <f>$A74&amp;"|"&amp;IF(ISNUMBER($W74),TEXT($W74,"0.0000"),"x")&amp;"|"&amp;$L74</f>
        <v/>
      </c>
      <c r="AA74" s="8">
        <f>$A74&amp;"|"&amp;IF(ISNUMBER($Y74),TEXT($Y74,"0.0000"),"x")&amp;"|"&amp;$L74</f>
        <v/>
      </c>
    </row>
    <row r="75">
      <c r="A75" s="8" t="inlineStr">
        <is>
          <t>C10u</t>
        </is>
      </c>
      <c r="B75" s="8" t="inlineStr">
        <is>
          <t>Core Electronics</t>
        </is>
      </c>
      <c r="C75" s="8" t="inlineStr">
        <is>
          <t>SparkFun COM-00523</t>
        </is>
      </c>
      <c r="D75" s="12" t="n">
        <v>1</v>
      </c>
      <c r="E75" s="14" t="n">
        <v>0.85</v>
      </c>
      <c r="F75" s="12" t="n">
        <v>5</v>
      </c>
      <c r="G75" s="14" t="n">
        <v>0.83</v>
      </c>
      <c r="H75" s="12" t="n">
        <v>100</v>
      </c>
      <c r="I75" s="14" t="n">
        <v>0.78</v>
      </c>
      <c r="J75" s="12" t="inlineStr">
        <is>
          <t>N</t>
        </is>
      </c>
      <c r="K75" s="8" t="inlineStr">
        <is>
          <t>12 local, 900 in 5-11 days</t>
        </is>
      </c>
      <c r="L75" s="12" t="inlineStr">
        <is>
          <t>Y</t>
        </is>
      </c>
      <c r="M75" s="8" t="inlineStr">
        <is>
          <t>2026-10-25</t>
        </is>
      </c>
      <c r="N75" s="15" t="inlineStr">
        <is>
          <t>https://core-electronics.com.au/electrolytic-decoupling-capacitors-10uf-25v.html</t>
        </is>
      </c>
      <c r="O75" s="8" t="inlineStr">
        <is>
          <t>10 uF 25 V electrolytic. Breaks 5+ 0.83, 25+ 0.81, 100+ 0.78. $0.94 inc GST. Recorded ex GST.</t>
        </is>
      </c>
      <c r="P75" s="8">
        <f>IFERROR(VLOOKUP($A75,BOM!$A$2:$E$51,5,0),0)</f>
        <v/>
      </c>
      <c r="Q75" s="8">
        <f>CEILING($P75*Assumptions!$B$4/$D75,1)</f>
        <v/>
      </c>
      <c r="R75" s="8">
        <f>CEILING($P75*Assumptions!$B$5/$D75,1)</f>
        <v/>
      </c>
      <c r="S75" s="8">
        <f>CEILING($P75*Assumptions!$B$6/$D75,1)</f>
        <v/>
      </c>
      <c r="T75" s="7">
        <f>IF(ISNUMBER($E75),$E75*(1+IF($J75="Y",0,Assumptions!$B$3)),"")</f>
        <v/>
      </c>
      <c r="U75" s="7">
        <f>IF(ISNUMBER($E75),IF(AND(ISNUMBER($G75),ISNUMBER($F75)),IF($F75&lt;=$R75,$G75,$E75),$E75)*(1+IF($J75="Y",0,Assumptions!$B$3)),"")</f>
        <v/>
      </c>
      <c r="V75" s="7">
        <f>IF(ISNUMBER($E75),IF(AND(ISNUMBER($I75),ISNUMBER($H75)),IF($H75&lt;=$S75,$I75,IF(AND(ISNUMBER($G75),ISNUMBER($F75)),IF($F75&lt;=$S75,$G75,$E75),$E75)),IF(AND(ISNUMBER($G75),ISNUMBER($F75)),IF($F75&lt;=$S75,$G75,$E75),$E75))*(1+IF($J75="Y",0,Assumptions!$B$3)),"")</f>
        <v/>
      </c>
      <c r="W75" s="7">
        <f>IF(ISNUMBER($T75),$Q75*$T75/Assumptions!$B$4,"")</f>
        <v/>
      </c>
      <c r="X75" s="7">
        <f>IF(ISNUMBER($U75),$R75*$U75/Assumptions!$B$5,"")</f>
        <v/>
      </c>
      <c r="Y75" s="7">
        <f>IF(ISNUMBER($V75),$S75*$V75/Assumptions!$B$6,"")</f>
        <v/>
      </c>
      <c r="Z75" s="8">
        <f>$A75&amp;"|"&amp;IF(ISNUMBER($W75),TEXT($W75,"0.0000"),"x")&amp;"|"&amp;$L75</f>
        <v/>
      </c>
      <c r="AA75" s="8">
        <f>$A75&amp;"|"&amp;IF(ISNUMBER($Y75),TEXT($Y75,"0.0000"),"x")&amp;"|"&amp;$L75</f>
        <v/>
      </c>
    </row>
    <row r="76">
      <c r="A76" s="8" t="inlineStr">
        <is>
          <t>C10u</t>
        </is>
      </c>
      <c r="B76" s="8" t="inlineStr">
        <is>
          <t>Jaycar</t>
        </is>
      </c>
      <c r="C76" s="8" t="inlineStr">
        <is>
          <t>RE6066</t>
        </is>
      </c>
      <c r="D76" s="12" t="n">
        <v>1</v>
      </c>
      <c r="E76" s="14" t="n">
        <v>0.3</v>
      </c>
      <c r="F76" s="12" t="n"/>
      <c r="G76" s="14" t="n"/>
      <c r="H76" s="12" t="n"/>
      <c r="I76" s="14" t="n"/>
      <c r="J76" s="12" t="inlineStr">
        <is>
          <t>Y</t>
        </is>
      </c>
      <c r="K76" s="8" t="inlineStr">
        <is>
          <t>not shown (store select)</t>
        </is>
      </c>
      <c r="L76" s="12" t="inlineStr">
        <is>
          <t>Y</t>
        </is>
      </c>
      <c r="M76" s="8" t="inlineStr">
        <is>
          <t>2026-10-25</t>
        </is>
      </c>
      <c r="N76" s="15" t="inlineStr">
        <is>
          <t>https://jaycar.com.au/p/RE6066</t>
        </is>
      </c>
      <c r="O76" s="8" t="inlineStr">
        <is>
          <t>10 uF 16 V electrolytic RB. Bulk tiers not shown. GST not stated (treated as incl.).</t>
        </is>
      </c>
      <c r="P76" s="8">
        <f>IFERROR(VLOOKUP($A76,BOM!$A$2:$E$51,5,0),0)</f>
        <v/>
      </c>
      <c r="Q76" s="8">
        <f>CEILING($P76*Assumptions!$B$4/$D76,1)</f>
        <v/>
      </c>
      <c r="R76" s="8">
        <f>CEILING($P76*Assumptions!$B$5/$D76,1)</f>
        <v/>
      </c>
      <c r="S76" s="8">
        <f>CEILING($P76*Assumptions!$B$6/$D76,1)</f>
        <v/>
      </c>
      <c r="T76" s="7">
        <f>IF(ISNUMBER($E76),$E76*(1+IF($J76="Y",0,Assumptions!$B$3)),"")</f>
        <v/>
      </c>
      <c r="U76" s="7">
        <f>IF(ISNUMBER($E76),IF(AND(ISNUMBER($G76),ISNUMBER($F76)),IF($F76&lt;=$R76,$G76,$E76),$E76)*(1+IF($J76="Y",0,Assumptions!$B$3)),"")</f>
        <v/>
      </c>
      <c r="V76" s="7">
        <f>IF(ISNUMBER($E76),IF(AND(ISNUMBER($I76),ISNUMBER($H76)),IF($H76&lt;=$S76,$I76,IF(AND(ISNUMBER($G76),ISNUMBER($F76)),IF($F76&lt;=$S76,$G76,$E76),$E76)),IF(AND(ISNUMBER($G76),ISNUMBER($F76)),IF($F76&lt;=$S76,$G76,$E76),$E76))*(1+IF($J76="Y",0,Assumptions!$B$3)),"")</f>
        <v/>
      </c>
      <c r="W76" s="7">
        <f>IF(ISNUMBER($T76),$Q76*$T76/Assumptions!$B$4,"")</f>
        <v/>
      </c>
      <c r="X76" s="7">
        <f>IF(ISNUMBER($U76),$R76*$U76/Assumptions!$B$5,"")</f>
        <v/>
      </c>
      <c r="Y76" s="7">
        <f>IF(ISNUMBER($V76),$S76*$V76/Assumptions!$B$6,"")</f>
        <v/>
      </c>
      <c r="Z76" s="8">
        <f>$A76&amp;"|"&amp;IF(ISNUMBER($W76),TEXT($W76,"0.0000"),"x")&amp;"|"&amp;$L76</f>
        <v/>
      </c>
      <c r="AA76" s="8">
        <f>$A76&amp;"|"&amp;IF(ISNUMBER($Y76),TEXT($Y76,"0.0000"),"x")&amp;"|"&amp;$L76</f>
        <v/>
      </c>
    </row>
    <row r="77">
      <c r="A77" s="8" t="inlineStr">
        <is>
          <t>C100u</t>
        </is>
      </c>
      <c r="B77" s="8" t="inlineStr">
        <is>
          <t>Core Electronics</t>
        </is>
      </c>
      <c r="C77" s="8" t="inlineStr">
        <is>
          <t>CE05258</t>
        </is>
      </c>
      <c r="D77" s="12" t="n">
        <v>1</v>
      </c>
      <c r="E77" s="14" t="n">
        <v>0.25</v>
      </c>
      <c r="F77" s="12" t="n">
        <v>10</v>
      </c>
      <c r="G77" s="14" t="n">
        <v>0.25</v>
      </c>
      <c r="H77" s="12" t="n">
        <v>25</v>
      </c>
      <c r="I77" s="14" t="n">
        <v>0.24</v>
      </c>
      <c r="J77" s="12" t="inlineStr">
        <is>
          <t>N</t>
        </is>
      </c>
      <c r="K77" s="8" t="inlineStr">
        <is>
          <t>43 local</t>
        </is>
      </c>
      <c r="L77" s="12" t="inlineStr">
        <is>
          <t>Y</t>
        </is>
      </c>
      <c r="M77" s="8" t="inlineStr">
        <is>
          <t>2026-10-25</t>
        </is>
      </c>
      <c r="N77" s="15" t="inlineStr">
        <is>
          <t>https://core-electronics.com.au/radial-capacitor-100uf.html</t>
        </is>
      </c>
      <c r="O77" s="8" t="inlineStr">
        <is>
          <t>100 uF 50 V radial electrolytic. $0.28 inc GST. Recorded ex GST.</t>
        </is>
      </c>
      <c r="P77" s="8">
        <f>IFERROR(VLOOKUP($A77,BOM!$A$2:$E$51,5,0),0)</f>
        <v/>
      </c>
      <c r="Q77" s="8">
        <f>CEILING($P77*Assumptions!$B$4/$D77,1)</f>
        <v/>
      </c>
      <c r="R77" s="8">
        <f>CEILING($P77*Assumptions!$B$5/$D77,1)</f>
        <v/>
      </c>
      <c r="S77" s="8">
        <f>CEILING($P77*Assumptions!$B$6/$D77,1)</f>
        <v/>
      </c>
      <c r="T77" s="7">
        <f>IF(ISNUMBER($E77),$E77*(1+IF($J77="Y",0,Assumptions!$B$3)),"")</f>
        <v/>
      </c>
      <c r="U77" s="7">
        <f>IF(ISNUMBER($E77),IF(AND(ISNUMBER($G77),ISNUMBER($F77)),IF($F77&lt;=$R77,$G77,$E77),$E77)*(1+IF($J77="Y",0,Assumptions!$B$3)),"")</f>
        <v/>
      </c>
      <c r="V77" s="7">
        <f>IF(ISNUMBER($E77),IF(AND(ISNUMBER($I77),ISNUMBER($H77)),IF($H77&lt;=$S77,$I77,IF(AND(ISNUMBER($G77),ISNUMBER($F77)),IF($F77&lt;=$S77,$G77,$E77),$E77)),IF(AND(ISNUMBER($G77),ISNUMBER($F77)),IF($F77&lt;=$S77,$G77,$E77),$E77))*(1+IF($J77="Y",0,Assumptions!$B$3)),"")</f>
        <v/>
      </c>
      <c r="W77" s="7">
        <f>IF(ISNUMBER($T77),$Q77*$T77/Assumptions!$B$4,"")</f>
        <v/>
      </c>
      <c r="X77" s="7">
        <f>IF(ISNUMBER($U77),$R77*$U77/Assumptions!$B$5,"")</f>
        <v/>
      </c>
      <c r="Y77" s="7">
        <f>IF(ISNUMBER($V77),$S77*$V77/Assumptions!$B$6,"")</f>
        <v/>
      </c>
      <c r="Z77" s="8">
        <f>$A77&amp;"|"&amp;IF(ISNUMBER($W77),TEXT($W77,"0.0000"),"x")&amp;"|"&amp;$L77</f>
        <v/>
      </c>
      <c r="AA77" s="8">
        <f>$A77&amp;"|"&amp;IF(ISNUMBER($Y77),TEXT($Y77,"0.0000"),"x")&amp;"|"&amp;$L77</f>
        <v/>
      </c>
    </row>
    <row r="78">
      <c r="A78" s="8" t="inlineStr">
        <is>
          <t>C100u</t>
        </is>
      </c>
      <c r="B78" s="8" t="inlineStr">
        <is>
          <t>Jaycar</t>
        </is>
      </c>
      <c r="C78" s="8" t="inlineStr">
        <is>
          <t>RE6130</t>
        </is>
      </c>
      <c r="D78" s="12" t="n">
        <v>1</v>
      </c>
      <c r="E78" s="14" t="n">
        <v>0.35</v>
      </c>
      <c r="F78" s="12" t="n"/>
      <c r="G78" s="14" t="n"/>
      <c r="H78" s="12" t="n"/>
      <c r="I78" s="14" t="n"/>
      <c r="J78" s="12" t="inlineStr">
        <is>
          <t>Y</t>
        </is>
      </c>
      <c r="K78" s="8" t="inlineStr">
        <is>
          <t>not shown (store select)</t>
        </is>
      </c>
      <c r="L78" s="12" t="inlineStr">
        <is>
          <t>Y</t>
        </is>
      </c>
      <c r="M78" s="8" t="inlineStr">
        <is>
          <t>2026-10-25</t>
        </is>
      </c>
      <c r="N78" s="15" t="inlineStr">
        <is>
          <t>https://jaycar.com.au/p/RE6130</t>
        </is>
      </c>
      <c r="O78" s="8" t="inlineStr">
        <is>
          <t>100 uF 16 V electrolytic RB. GST not stated (treated as incl.).</t>
        </is>
      </c>
      <c r="P78" s="8">
        <f>IFERROR(VLOOKUP($A78,BOM!$A$2:$E$51,5,0),0)</f>
        <v/>
      </c>
      <c r="Q78" s="8">
        <f>CEILING($P78*Assumptions!$B$4/$D78,1)</f>
        <v/>
      </c>
      <c r="R78" s="8">
        <f>CEILING($P78*Assumptions!$B$5/$D78,1)</f>
        <v/>
      </c>
      <c r="S78" s="8">
        <f>CEILING($P78*Assumptions!$B$6/$D78,1)</f>
        <v/>
      </c>
      <c r="T78" s="7">
        <f>IF(ISNUMBER($E78),$E78*(1+IF($J78="Y",0,Assumptions!$B$3)),"")</f>
        <v/>
      </c>
      <c r="U78" s="7">
        <f>IF(ISNUMBER($E78),IF(AND(ISNUMBER($G78),ISNUMBER($F78)),IF($F78&lt;=$R78,$G78,$E78),$E78)*(1+IF($J78="Y",0,Assumptions!$B$3)),"")</f>
        <v/>
      </c>
      <c r="V78" s="7">
        <f>IF(ISNUMBER($E78),IF(AND(ISNUMBER($I78),ISNUMBER($H78)),IF($H78&lt;=$S78,$I78,IF(AND(ISNUMBER($G78),ISNUMBER($F78)),IF($F78&lt;=$S78,$G78,$E78),$E78)),IF(AND(ISNUMBER($G78),ISNUMBER($F78)),IF($F78&lt;=$S78,$G78,$E78),$E78))*(1+IF($J78="Y",0,Assumptions!$B$3)),"")</f>
        <v/>
      </c>
      <c r="W78" s="7">
        <f>IF(ISNUMBER($T78),$Q78*$T78/Assumptions!$B$4,"")</f>
        <v/>
      </c>
      <c r="X78" s="7">
        <f>IF(ISNUMBER($U78),$R78*$U78/Assumptions!$B$5,"")</f>
        <v/>
      </c>
      <c r="Y78" s="7">
        <f>IF(ISNUMBER($V78),$S78*$V78/Assumptions!$B$6,"")</f>
        <v/>
      </c>
      <c r="Z78" s="8">
        <f>$A78&amp;"|"&amp;IF(ISNUMBER($W78),TEXT($W78,"0.0000"),"x")&amp;"|"&amp;$L78</f>
        <v/>
      </c>
      <c r="AA78" s="8">
        <f>$A78&amp;"|"&amp;IF(ISNUMBER($Y78),TEXT($Y78,"0.0000"),"x")&amp;"|"&amp;$L78</f>
        <v/>
      </c>
    </row>
    <row r="79">
      <c r="A79" s="8" t="inlineStr">
        <is>
          <t>VR1</t>
        </is>
      </c>
      <c r="B79" s="8" t="inlineStr">
        <is>
          <t>Altronics</t>
        </is>
      </c>
      <c r="C79" s="8" t="inlineStr">
        <is>
          <t>R2230</t>
        </is>
      </c>
      <c r="D79" s="12" t="n">
        <v>1</v>
      </c>
      <c r="E79" s="14" t="n">
        <v>2.9</v>
      </c>
      <c r="F79" s="12" t="n">
        <v>10</v>
      </c>
      <c r="G79" s="14" t="n">
        <v>2.35</v>
      </c>
      <c r="H79" s="12" t="n"/>
      <c r="I79" s="14" t="n"/>
      <c r="J79" s="12" t="inlineStr">
        <is>
          <t>Y</t>
        </is>
      </c>
      <c r="K79" s="8" t="inlineStr">
        <is>
          <t>not shown</t>
        </is>
      </c>
      <c r="L79" s="12" t="inlineStr">
        <is>
          <t>Y</t>
        </is>
      </c>
      <c r="M79" s="8" t="inlineStr">
        <is>
          <t>2026-10-24</t>
        </is>
      </c>
      <c r="N79" s="15" t="inlineStr">
        <is>
          <t>https://www.altronics.com.au/search/all/?sr=R2230</t>
        </is>
      </c>
      <c r="O79" s="8" t="inlineStr">
        <is>
          <t>1M Lin 18T spline 16 mm single horizontal PCB pot. Breaks 10+ $2.35, 20+ $2.00. Page states all prices incl GST. URL is the Altronics search result page (product page URL not given).</t>
        </is>
      </c>
      <c r="P79" s="8">
        <f>IFERROR(VLOOKUP($A79,BOM!$A$2:$E$51,5,0),0)</f>
        <v/>
      </c>
      <c r="Q79" s="8">
        <f>CEILING($P79*Assumptions!$B$4/$D79,1)</f>
        <v/>
      </c>
      <c r="R79" s="8">
        <f>CEILING($P79*Assumptions!$B$5/$D79,1)</f>
        <v/>
      </c>
      <c r="S79" s="8">
        <f>CEILING($P79*Assumptions!$B$6/$D79,1)</f>
        <v/>
      </c>
      <c r="T79" s="7">
        <f>IF(ISNUMBER($E79),$E79*(1+IF($J79="Y",0,Assumptions!$B$3)),"")</f>
        <v/>
      </c>
      <c r="U79" s="7">
        <f>IF(ISNUMBER($E79),IF(AND(ISNUMBER($G79),ISNUMBER($F79)),IF($F79&lt;=$R79,$G79,$E79),$E79)*(1+IF($J79="Y",0,Assumptions!$B$3)),"")</f>
        <v/>
      </c>
      <c r="V79" s="7">
        <f>IF(ISNUMBER($E79),IF(AND(ISNUMBER($I79),ISNUMBER($H79)),IF($H79&lt;=$S79,$I79,IF(AND(ISNUMBER($G79),ISNUMBER($F79)),IF($F79&lt;=$S79,$G79,$E79),$E79)),IF(AND(ISNUMBER($G79),ISNUMBER($F79)),IF($F79&lt;=$S79,$G79,$E79),$E79))*(1+IF($J79="Y",0,Assumptions!$B$3)),"")</f>
        <v/>
      </c>
      <c r="W79" s="7">
        <f>IF(ISNUMBER($T79),$Q79*$T79/Assumptions!$B$4,"")</f>
        <v/>
      </c>
      <c r="X79" s="7">
        <f>IF(ISNUMBER($U79),$R79*$U79/Assumptions!$B$5,"")</f>
        <v/>
      </c>
      <c r="Y79" s="7">
        <f>IF(ISNUMBER($V79),$S79*$V79/Assumptions!$B$6,"")</f>
        <v/>
      </c>
      <c r="Z79" s="8">
        <f>$A79&amp;"|"&amp;IF(ISNUMBER($W79),TEXT($W79,"0.0000"),"x")&amp;"|"&amp;$L79</f>
        <v/>
      </c>
      <c r="AA79" s="8">
        <f>$A79&amp;"|"&amp;IF(ISNUMBER($Y79),TEXT($Y79,"0.0000"),"x")&amp;"|"&amp;$L79</f>
        <v/>
      </c>
    </row>
    <row r="80">
      <c r="A80" s="8" t="inlineStr">
        <is>
          <t>VR1</t>
        </is>
      </c>
      <c r="B80" s="8" t="inlineStr">
        <is>
          <t>Jaycar</t>
        </is>
      </c>
      <c r="C80" s="8" t="inlineStr">
        <is>
          <t>RP7524</t>
        </is>
      </c>
      <c r="D80" s="12" t="n">
        <v>1</v>
      </c>
      <c r="E80" s="14" t="n">
        <v>3.95</v>
      </c>
      <c r="F80" s="12" t="n"/>
      <c r="G80" s="14" t="n"/>
      <c r="H80" s="12" t="n"/>
      <c r="I80" s="14" t="n"/>
      <c r="J80" s="12" t="inlineStr">
        <is>
          <t>Y</t>
        </is>
      </c>
      <c r="K80" s="8" t="inlineStr">
        <is>
          <t>not shown (store select)</t>
        </is>
      </c>
      <c r="L80" s="12" t="inlineStr">
        <is>
          <t>Y</t>
        </is>
      </c>
      <c r="M80" s="8" t="inlineStr">
        <is>
          <t>2026-10-24</t>
        </is>
      </c>
      <c r="N80" s="15" t="inlineStr">
        <is>
          <t>https://jaycar.com.au/1m-ohm-linear-b-single-gang-16mm-potentiometer/p/RP7524</t>
        </is>
      </c>
      <c r="O80" s="8" t="inlineStr">
        <is>
          <t>1M linear 16 mm single gang, solder legs (not PCB pins; needs leads for breadboard). Jaycar page price; GST not stated on page (retail shelf price, treated as incl. GST). Stock needs store selection; bulk tiers not shown.</t>
        </is>
      </c>
      <c r="P80" s="8">
        <f>IFERROR(VLOOKUP($A80,BOM!$A$2:$E$51,5,0),0)</f>
        <v/>
      </c>
      <c r="Q80" s="8">
        <f>CEILING($P80*Assumptions!$B$4/$D80,1)</f>
        <v/>
      </c>
      <c r="R80" s="8">
        <f>CEILING($P80*Assumptions!$B$5/$D80,1)</f>
        <v/>
      </c>
      <c r="S80" s="8">
        <f>CEILING($P80*Assumptions!$B$6/$D80,1)</f>
        <v/>
      </c>
      <c r="T80" s="7">
        <f>IF(ISNUMBER($E80),$E80*(1+IF($J80="Y",0,Assumptions!$B$3)),"")</f>
        <v/>
      </c>
      <c r="U80" s="7">
        <f>IF(ISNUMBER($E80),IF(AND(ISNUMBER($G80),ISNUMBER($F80)),IF($F80&lt;=$R80,$G80,$E80),$E80)*(1+IF($J80="Y",0,Assumptions!$B$3)),"")</f>
        <v/>
      </c>
      <c r="V80" s="7">
        <f>IF(ISNUMBER($E80),IF(AND(ISNUMBER($I80),ISNUMBER($H80)),IF($H80&lt;=$S80,$I80,IF(AND(ISNUMBER($G80),ISNUMBER($F80)),IF($F80&lt;=$S80,$G80,$E80),$E80)),IF(AND(ISNUMBER($G80),ISNUMBER($F80)),IF($F80&lt;=$S80,$G80,$E80),$E80))*(1+IF($J80="Y",0,Assumptions!$B$3)),"")</f>
        <v/>
      </c>
      <c r="W80" s="7">
        <f>IF(ISNUMBER($T80),$Q80*$T80/Assumptions!$B$4,"")</f>
        <v/>
      </c>
      <c r="X80" s="7">
        <f>IF(ISNUMBER($U80),$R80*$U80/Assumptions!$B$5,"")</f>
        <v/>
      </c>
      <c r="Y80" s="7">
        <f>IF(ISNUMBER($V80),$S80*$V80/Assumptions!$B$6,"")</f>
        <v/>
      </c>
      <c r="Z80" s="8">
        <f>$A80&amp;"|"&amp;IF(ISNUMBER($W80),TEXT($W80,"0.0000"),"x")&amp;"|"&amp;$L80</f>
        <v/>
      </c>
      <c r="AA80" s="8">
        <f>$A80&amp;"|"&amp;IF(ISNUMBER($Y80),TEXT($Y80,"0.0000"),"x")&amp;"|"&amp;$L80</f>
        <v/>
      </c>
    </row>
    <row r="81">
      <c r="A81" s="8" t="inlineStr">
        <is>
          <t>JP3</t>
        </is>
      </c>
      <c r="B81" s="8" t="inlineStr">
        <is>
          <t>Core Electronics</t>
        </is>
      </c>
      <c r="C81" s="8" t="inlineStr">
        <is>
          <t>CE07828 1x40 header + FIT0140 jumper caps (600)</t>
        </is>
      </c>
      <c r="D81" s="12" t="n">
        <v>1</v>
      </c>
      <c r="E81" s="14" t="n">
        <v>8.94</v>
      </c>
      <c r="F81" s="12" t="n"/>
      <c r="G81" s="14" t="n"/>
      <c r="H81" s="12" t="n"/>
      <c r="I81" s="14" t="n"/>
      <c r="J81" s="12" t="inlineStr">
        <is>
          <t>Y</t>
        </is>
      </c>
      <c r="K81" s="8" t="inlineStr">
        <is>
          <t>header 2061 local; jumper caps 5 local</t>
        </is>
      </c>
      <c r="L81" s="12" t="inlineStr">
        <is>
          <t>Y</t>
        </is>
      </c>
      <c r="M81" s="8" t="inlineStr">
        <is>
          <t>2026-10-25</t>
        </is>
      </c>
      <c r="N81" s="15" t="inlineStr">
        <is>
          <t>https://core-electronics.com.au/male-pin-header-2-54mm-1x40.html</t>
        </is>
      </c>
      <c r="O81" s="8" t="inlineStr">
        <is>
          <t>Header 1x40 $0.45 (cut 13 x 3-pin per strip) plus DFRobot 600-pc jumper cap pack $8.49 (https://core-electronics.com.au/jumper-cap-600pcs.html); price_q1 = sum of one each. No breaks. Per kit cost much lower when split across kits.</t>
        </is>
      </c>
      <c r="P81" s="8">
        <f>IFERROR(VLOOKUP($A81,BOM!$A$2:$E$51,5,0),0)</f>
        <v/>
      </c>
      <c r="Q81" s="8">
        <f>CEILING($P81*Assumptions!$B$4/$D81,1)</f>
        <v/>
      </c>
      <c r="R81" s="8">
        <f>CEILING($P81*Assumptions!$B$5/$D81,1)</f>
        <v/>
      </c>
      <c r="S81" s="8">
        <f>CEILING($P81*Assumptions!$B$6/$D81,1)</f>
        <v/>
      </c>
      <c r="T81" s="7">
        <f>IF(ISNUMBER($E81),$E81*(1+IF($J81="Y",0,Assumptions!$B$3)),"")</f>
        <v/>
      </c>
      <c r="U81" s="7">
        <f>IF(ISNUMBER($E81),IF(AND(ISNUMBER($G81),ISNUMBER($F81)),IF($F81&lt;=$R81,$G81,$E81),$E81)*(1+IF($J81="Y",0,Assumptions!$B$3)),"")</f>
        <v/>
      </c>
      <c r="V81" s="7">
        <f>IF(ISNUMBER($E81),IF(AND(ISNUMBER($I81),ISNUMBER($H81)),IF($H81&lt;=$S81,$I81,IF(AND(ISNUMBER($G81),ISNUMBER($F81)),IF($F81&lt;=$S81,$G81,$E81),$E81)),IF(AND(ISNUMBER($G81),ISNUMBER($F81)),IF($F81&lt;=$S81,$G81,$E81),$E81))*(1+IF($J81="Y",0,Assumptions!$B$3)),"")</f>
        <v/>
      </c>
      <c r="W81" s="7">
        <f>IF(ISNUMBER($T81),$Q81*$T81/Assumptions!$B$4,"")</f>
        <v/>
      </c>
      <c r="X81" s="7">
        <f>IF(ISNUMBER($U81),$R81*$U81/Assumptions!$B$5,"")</f>
        <v/>
      </c>
      <c r="Y81" s="7">
        <f>IF(ISNUMBER($V81),$S81*$V81/Assumptions!$B$6,"")</f>
        <v/>
      </c>
      <c r="Z81" s="8">
        <f>$A81&amp;"|"&amp;IF(ISNUMBER($W81),TEXT($W81,"0.0000"),"x")&amp;"|"&amp;$L81</f>
        <v/>
      </c>
      <c r="AA81" s="8">
        <f>$A81&amp;"|"&amp;IF(ISNUMBER($Y81),TEXT($Y81,"0.0000"),"x")&amp;"|"&amp;$L81</f>
        <v/>
      </c>
    </row>
    <row r="82">
      <c r="A82" s="8" t="inlineStr">
        <is>
          <t>JP3</t>
        </is>
      </c>
      <c r="B82" s="8" t="inlineStr">
        <is>
          <t>Mouser Australia</t>
        </is>
      </c>
      <c r="C82" s="8" t="inlineStr">
        <is>
          <t>68000-103HLF + 63429-202LF</t>
        </is>
      </c>
      <c r="D82" s="12" t="n">
        <v>1</v>
      </c>
      <c r="E82" s="14" t="n">
        <v>0.9429999999999999</v>
      </c>
      <c r="F82" s="12" t="n">
        <v>10</v>
      </c>
      <c r="G82" s="14" t="n">
        <v>0.8149999999999999</v>
      </c>
      <c r="H82" s="12" t="n">
        <v>100</v>
      </c>
      <c r="I82" s="14" t="n">
        <v>0.65</v>
      </c>
      <c r="J82" s="12" t="inlineStr">
        <is>
          <t>N</t>
        </is>
      </c>
      <c r="K82" s="8" t="inlineStr">
        <is>
          <t>header 17939; shunt 11721</t>
        </is>
      </c>
      <c r="L82" s="12" t="inlineStr">
        <is>
          <t>Y</t>
        </is>
      </c>
      <c r="M82" s="8" t="inlineStr">
        <is>
          <t>2026-10-25</t>
        </is>
      </c>
      <c r="N82" s="15" t="inlineStr">
        <is>
          <t>https://au.mouser.com/ProductDetail/649-68000-103HLF</t>
        </is>
      </c>
      <c r="O82" s="8" t="inlineStr">
        <is>
          <t>Mouser page states no GST treatment; treated as ex GST. Sum of Amphenol FCI 3-pin 2.54 mm header 68000-103HLF (0.493/0.418/0.345) and 2-pos shunt 63429-202LF (0.45/0.397/0.305, https://au.mouser.com/ProductDetail/649-63429-202LF).</t>
        </is>
      </c>
      <c r="P82" s="8">
        <f>IFERROR(VLOOKUP($A82,BOM!$A$2:$E$51,5,0),0)</f>
        <v/>
      </c>
      <c r="Q82" s="8">
        <f>CEILING($P82*Assumptions!$B$4/$D82,1)</f>
        <v/>
      </c>
      <c r="R82" s="8">
        <f>CEILING($P82*Assumptions!$B$5/$D82,1)</f>
        <v/>
      </c>
      <c r="S82" s="8">
        <f>CEILING($P82*Assumptions!$B$6/$D82,1)</f>
        <v/>
      </c>
      <c r="T82" s="7">
        <f>IF(ISNUMBER($E82),$E82*(1+IF($J82="Y",0,Assumptions!$B$3)),"")</f>
        <v/>
      </c>
      <c r="U82" s="7">
        <f>IF(ISNUMBER($E82),IF(AND(ISNUMBER($G82),ISNUMBER($F82)),IF($F82&lt;=$R82,$G82,$E82),$E82)*(1+IF($J82="Y",0,Assumptions!$B$3)),"")</f>
        <v/>
      </c>
      <c r="V82" s="7">
        <f>IF(ISNUMBER($E82),IF(AND(ISNUMBER($I82),ISNUMBER($H82)),IF($H82&lt;=$S82,$I82,IF(AND(ISNUMBER($G82),ISNUMBER($F82)),IF($F82&lt;=$S82,$G82,$E82),$E82)),IF(AND(ISNUMBER($G82),ISNUMBER($F82)),IF($F82&lt;=$S82,$G82,$E82),$E82))*(1+IF($J82="Y",0,Assumptions!$B$3)),"")</f>
        <v/>
      </c>
      <c r="W82" s="7">
        <f>IF(ISNUMBER($T82),$Q82*$T82/Assumptions!$B$4,"")</f>
        <v/>
      </c>
      <c r="X82" s="7">
        <f>IF(ISNUMBER($U82),$R82*$U82/Assumptions!$B$5,"")</f>
        <v/>
      </c>
      <c r="Y82" s="7">
        <f>IF(ISNUMBER($V82),$S82*$V82/Assumptions!$B$6,"")</f>
        <v/>
      </c>
      <c r="Z82" s="8">
        <f>$A82&amp;"|"&amp;IF(ISNUMBER($W82),TEXT($W82,"0.0000"),"x")&amp;"|"&amp;$L82</f>
        <v/>
      </c>
      <c r="AA82" s="8">
        <f>$A82&amp;"|"&amp;IF(ISNUMBER($Y82),TEXT($Y82,"0.0000"),"x")&amp;"|"&amp;$L82</f>
        <v/>
      </c>
    </row>
    <row r="83">
      <c r="A83" s="8" t="inlineStr">
        <is>
          <t>SW1</t>
        </is>
      </c>
      <c r="B83" s="8" t="inlineStr">
        <is>
          <t>Core Electronics</t>
        </is>
      </c>
      <c r="C83" s="8" t="inlineStr">
        <is>
          <t>ADA367</t>
        </is>
      </c>
      <c r="D83" s="12" t="n">
        <v>20</v>
      </c>
      <c r="E83" s="14" t="n">
        <v>4.45</v>
      </c>
      <c r="F83" s="12" t="n">
        <v>10</v>
      </c>
      <c r="G83" s="14" t="n">
        <v>4.32</v>
      </c>
      <c r="H83" s="12" t="n">
        <v>50</v>
      </c>
      <c r="I83" s="14" t="n">
        <v>4.24</v>
      </c>
      <c r="J83" s="12" t="inlineStr">
        <is>
          <t>N</t>
        </is>
      </c>
      <c r="K83" s="8" t="inlineStr">
        <is>
          <t>5 local, up to 85 in 10-14 days</t>
        </is>
      </c>
      <c r="L83" s="12" t="inlineStr">
        <is>
          <t>Y</t>
        </is>
      </c>
      <c r="M83" s="8" t="inlineStr">
        <is>
          <t>2026-10-24</t>
        </is>
      </c>
      <c r="N83" s="15" t="inlineStr">
        <is>
          <t>https://core-electronics.com.au/tactile-button-switch-6mm-x-20-pack.html</t>
        </is>
      </c>
      <c r="O83" s="8" t="inlineStr">
        <is>
          <t>Adafruit 6 mm tactile 20-pack, breadboard usable. $4.90 inc GST. Core Electronics: q1 and breaks recorded ex GST (page shows q1 inc GST as well).</t>
        </is>
      </c>
      <c r="P83" s="8">
        <f>IFERROR(VLOOKUP($A83,BOM!$A$2:$E$51,5,0),0)</f>
        <v/>
      </c>
      <c r="Q83" s="8">
        <f>CEILING($P83*Assumptions!$B$4/$D83,1)</f>
        <v/>
      </c>
      <c r="R83" s="8">
        <f>CEILING($P83*Assumptions!$B$5/$D83,1)</f>
        <v/>
      </c>
      <c r="S83" s="8">
        <f>CEILING($P83*Assumptions!$B$6/$D83,1)</f>
        <v/>
      </c>
      <c r="T83" s="7">
        <f>IF(ISNUMBER($E83),$E83*(1+IF($J83="Y",0,Assumptions!$B$3)),"")</f>
        <v/>
      </c>
      <c r="U83" s="7">
        <f>IF(ISNUMBER($E83),IF(AND(ISNUMBER($G83),ISNUMBER($F83)),IF($F83&lt;=$R83,$G83,$E83),$E83)*(1+IF($J83="Y",0,Assumptions!$B$3)),"")</f>
        <v/>
      </c>
      <c r="V83" s="7">
        <f>IF(ISNUMBER($E83),IF(AND(ISNUMBER($I83),ISNUMBER($H83)),IF($H83&lt;=$S83,$I83,IF(AND(ISNUMBER($G83),ISNUMBER($F83)),IF($F83&lt;=$S83,$G83,$E83),$E83)),IF(AND(ISNUMBER($G83),ISNUMBER($F83)),IF($F83&lt;=$S83,$G83,$E83),$E83))*(1+IF($J83="Y",0,Assumptions!$B$3)),"")</f>
        <v/>
      </c>
      <c r="W83" s="7">
        <f>IF(ISNUMBER($T83),$Q83*$T83/Assumptions!$B$4,"")</f>
        <v/>
      </c>
      <c r="X83" s="7">
        <f>IF(ISNUMBER($U83),$R83*$U83/Assumptions!$B$5,"")</f>
        <v/>
      </c>
      <c r="Y83" s="7">
        <f>IF(ISNUMBER($V83),$S83*$V83/Assumptions!$B$6,"")</f>
        <v/>
      </c>
      <c r="Z83" s="8">
        <f>$A83&amp;"|"&amp;IF(ISNUMBER($W83),TEXT($W83,"0.0000"),"x")&amp;"|"&amp;$L83</f>
        <v/>
      </c>
      <c r="AA83" s="8">
        <f>$A83&amp;"|"&amp;IF(ISNUMBER($Y83),TEXT($Y83,"0.0000"),"x")&amp;"|"&amp;$L83</f>
        <v/>
      </c>
    </row>
    <row r="84">
      <c r="A84" s="8" t="inlineStr">
        <is>
          <t>SW1</t>
        </is>
      </c>
      <c r="B84" s="8" t="inlineStr">
        <is>
          <t>Jaycar</t>
        </is>
      </c>
      <c r="C84" s="8" t="inlineStr">
        <is>
          <t>SP0603</t>
        </is>
      </c>
      <c r="D84" s="12" t="n">
        <v>1</v>
      </c>
      <c r="E84" s="14" t="n">
        <v>0.95</v>
      </c>
      <c r="F84" s="12" t="n"/>
      <c r="G84" s="14" t="n"/>
      <c r="H84" s="12" t="n"/>
      <c r="I84" s="14" t="n"/>
      <c r="J84" s="12" t="inlineStr">
        <is>
          <t>Y</t>
        </is>
      </c>
      <c r="K84" s="8" t="inlineStr">
        <is>
          <t>not shown (store select)</t>
        </is>
      </c>
      <c r="L84" s="12" t="inlineStr">
        <is>
          <t>Y</t>
        </is>
      </c>
      <c r="M84" s="8" t="inlineStr">
        <is>
          <t>2026-10-24</t>
        </is>
      </c>
      <c r="N84" s="15" t="inlineStr">
        <is>
          <t>https://jaycar.com.au/p/SP0603</t>
        </is>
      </c>
      <c r="O84" s="8" t="inlineStr">
        <is>
          <t>6 mm SPST micro tactile, PCB pins, 6x6x3.2 mm. Jaycar page price; GST not stated on page (retail shelf price, treated as incl. GST). Stock needs store selection; bulk tiers not shown.</t>
        </is>
      </c>
      <c r="P84" s="8">
        <f>IFERROR(VLOOKUP($A84,BOM!$A$2:$E$51,5,0),0)</f>
        <v/>
      </c>
      <c r="Q84" s="8">
        <f>CEILING($P84*Assumptions!$B$4/$D84,1)</f>
        <v/>
      </c>
      <c r="R84" s="8">
        <f>CEILING($P84*Assumptions!$B$5/$D84,1)</f>
        <v/>
      </c>
      <c r="S84" s="8">
        <f>CEILING($P84*Assumptions!$B$6/$D84,1)</f>
        <v/>
      </c>
      <c r="T84" s="7">
        <f>IF(ISNUMBER($E84),$E84*(1+IF($J84="Y",0,Assumptions!$B$3)),"")</f>
        <v/>
      </c>
      <c r="U84" s="7">
        <f>IF(ISNUMBER($E84),IF(AND(ISNUMBER($G84),ISNUMBER($F84)),IF($F84&lt;=$R84,$G84,$E84),$E84)*(1+IF($J84="Y",0,Assumptions!$B$3)),"")</f>
        <v/>
      </c>
      <c r="V84" s="7">
        <f>IF(ISNUMBER($E84),IF(AND(ISNUMBER($I84),ISNUMBER($H84)),IF($H84&lt;=$S84,$I84,IF(AND(ISNUMBER($G84),ISNUMBER($F84)),IF($F84&lt;=$S84,$G84,$E84),$E84)),IF(AND(ISNUMBER($G84),ISNUMBER($F84)),IF($F84&lt;=$S84,$G84,$E84),$E84))*(1+IF($J84="Y",0,Assumptions!$B$3)),"")</f>
        <v/>
      </c>
      <c r="W84" s="7">
        <f>IF(ISNUMBER($T84),$Q84*$T84/Assumptions!$B$4,"")</f>
        <v/>
      </c>
      <c r="X84" s="7">
        <f>IF(ISNUMBER($U84),$R84*$U84/Assumptions!$B$5,"")</f>
        <v/>
      </c>
      <c r="Y84" s="7">
        <f>IF(ISNUMBER($V84),$S84*$V84/Assumptions!$B$6,"")</f>
        <v/>
      </c>
      <c r="Z84" s="8">
        <f>$A84&amp;"|"&amp;IF(ISNUMBER($W84),TEXT($W84,"0.0000"),"x")&amp;"|"&amp;$L84</f>
        <v/>
      </c>
      <c r="AA84" s="8">
        <f>$A84&amp;"|"&amp;IF(ISNUMBER($Y84),TEXT($Y84,"0.0000"),"x")&amp;"|"&amp;$L84</f>
        <v/>
      </c>
    </row>
    <row r="85">
      <c r="A85" s="8" t="inlineStr">
        <is>
          <t>SW2</t>
        </is>
      </c>
      <c r="B85" s="8" t="inlineStr">
        <is>
          <t>Core Electronics</t>
        </is>
      </c>
      <c r="C85" s="8" t="inlineStr">
        <is>
          <t>ADA805</t>
        </is>
      </c>
      <c r="D85" s="12" t="n">
        <v>1</v>
      </c>
      <c r="E85" s="14" t="n">
        <v>1.73</v>
      </c>
      <c r="F85" s="12" t="n">
        <v>10</v>
      </c>
      <c r="G85" s="14" t="n">
        <v>1.67</v>
      </c>
      <c r="H85" s="12" t="n">
        <v>50</v>
      </c>
      <c r="I85" s="14" t="n">
        <v>1.64</v>
      </c>
      <c r="J85" s="12" t="inlineStr">
        <is>
          <t>N</t>
        </is>
      </c>
      <c r="K85" s="8" t="inlineStr">
        <is>
          <t>39 local, up to 500 in 8-12 days</t>
        </is>
      </c>
      <c r="L85" s="12" t="inlineStr">
        <is>
          <t>Y</t>
        </is>
      </c>
      <c r="M85" s="8" t="inlineStr">
        <is>
          <t>2026-10-24</t>
        </is>
      </c>
      <c r="N85" s="15" t="inlineStr">
        <is>
          <t>https://core-electronics.com.au/breadboard-friendly-spdt-slide-switch.html</t>
        </is>
      </c>
      <c r="O85" s="8" t="inlineStr">
        <is>
          <t>Adafruit breadboard-friendly SPDT slide switch. $1.90 inc GST. Core Electronics: q1 and breaks recorded ex GST (page shows q1 inc GST as well).</t>
        </is>
      </c>
      <c r="P85" s="8">
        <f>IFERROR(VLOOKUP($A85,BOM!$A$2:$E$51,5,0),0)</f>
        <v/>
      </c>
      <c r="Q85" s="8">
        <f>CEILING($P85*Assumptions!$B$4/$D85,1)</f>
        <v/>
      </c>
      <c r="R85" s="8">
        <f>CEILING($P85*Assumptions!$B$5/$D85,1)</f>
        <v/>
      </c>
      <c r="S85" s="8">
        <f>CEILING($P85*Assumptions!$B$6/$D85,1)</f>
        <v/>
      </c>
      <c r="T85" s="7">
        <f>IF(ISNUMBER($E85),$E85*(1+IF($J85="Y",0,Assumptions!$B$3)),"")</f>
        <v/>
      </c>
      <c r="U85" s="7">
        <f>IF(ISNUMBER($E85),IF(AND(ISNUMBER($G85),ISNUMBER($F85)),IF($F85&lt;=$R85,$G85,$E85),$E85)*(1+IF($J85="Y",0,Assumptions!$B$3)),"")</f>
        <v/>
      </c>
      <c r="V85" s="7">
        <f>IF(ISNUMBER($E85),IF(AND(ISNUMBER($I85),ISNUMBER($H85)),IF($H85&lt;=$S85,$I85,IF(AND(ISNUMBER($G85),ISNUMBER($F85)),IF($F85&lt;=$S85,$G85,$E85),$E85)),IF(AND(ISNUMBER($G85),ISNUMBER($F85)),IF($F85&lt;=$S85,$G85,$E85),$E85))*(1+IF($J85="Y",0,Assumptions!$B$3)),"")</f>
        <v/>
      </c>
      <c r="W85" s="7">
        <f>IF(ISNUMBER($T85),$Q85*$T85/Assumptions!$B$4,"")</f>
        <v/>
      </c>
      <c r="X85" s="7">
        <f>IF(ISNUMBER($U85),$R85*$U85/Assumptions!$B$5,"")</f>
        <v/>
      </c>
      <c r="Y85" s="7">
        <f>IF(ISNUMBER($V85),$S85*$V85/Assumptions!$B$6,"")</f>
        <v/>
      </c>
      <c r="Z85" s="8">
        <f>$A85&amp;"|"&amp;IF(ISNUMBER($W85),TEXT($W85,"0.0000"),"x")&amp;"|"&amp;$L85</f>
        <v/>
      </c>
      <c r="AA85" s="8">
        <f>$A85&amp;"|"&amp;IF(ISNUMBER($Y85),TEXT($Y85,"0.0000"),"x")&amp;"|"&amp;$L85</f>
        <v/>
      </c>
    </row>
    <row r="86">
      <c r="A86" s="8" t="inlineStr">
        <is>
          <t>SW2</t>
        </is>
      </c>
      <c r="B86" s="8" t="inlineStr">
        <is>
          <t>Jaycar</t>
        </is>
      </c>
      <c r="C86" s="8" t="inlineStr">
        <is>
          <t>SS0834</t>
        </is>
      </c>
      <c r="D86" s="12" t="n">
        <v>1</v>
      </c>
      <c r="E86" s="14" t="n">
        <v>2</v>
      </c>
      <c r="F86" s="12" t="n">
        <v>10</v>
      </c>
      <c r="G86" s="14" t="n">
        <v>1.8</v>
      </c>
      <c r="H86" s="12" t="n">
        <v>25</v>
      </c>
      <c r="I86" s="14" t="n">
        <v>1.6</v>
      </c>
      <c r="J86" s="12" t="inlineStr">
        <is>
          <t>Y</t>
        </is>
      </c>
      <c r="K86" s="8" t="inlineStr">
        <is>
          <t>not shown (store select)</t>
        </is>
      </c>
      <c r="L86" s="12" t="inlineStr">
        <is>
          <t>Y</t>
        </is>
      </c>
      <c r="M86" s="8" t="inlineStr">
        <is>
          <t>2026-10-24</t>
        </is>
      </c>
      <c r="N86" s="15" t="inlineStr">
        <is>
          <t>https://jaycar.com.au/p/SS0834</t>
        </is>
      </c>
      <c r="O86" s="8" t="inlineStr">
        <is>
          <t>SPDT micro slide switch, 0.1 in pitch PCB pins (breadboard). Tiers 10-24 $1.80, 25+ $1.60. GST not stated on page (treated as incl.).</t>
        </is>
      </c>
      <c r="P86" s="8">
        <f>IFERROR(VLOOKUP($A86,BOM!$A$2:$E$51,5,0),0)</f>
        <v/>
      </c>
      <c r="Q86" s="8">
        <f>CEILING($P86*Assumptions!$B$4/$D86,1)</f>
        <v/>
      </c>
      <c r="R86" s="8">
        <f>CEILING($P86*Assumptions!$B$5/$D86,1)</f>
        <v/>
      </c>
      <c r="S86" s="8">
        <f>CEILING($P86*Assumptions!$B$6/$D86,1)</f>
        <v/>
      </c>
      <c r="T86" s="7">
        <f>IF(ISNUMBER($E86),$E86*(1+IF($J86="Y",0,Assumptions!$B$3)),"")</f>
        <v/>
      </c>
      <c r="U86" s="7">
        <f>IF(ISNUMBER($E86),IF(AND(ISNUMBER($G86),ISNUMBER($F86)),IF($F86&lt;=$R86,$G86,$E86),$E86)*(1+IF($J86="Y",0,Assumptions!$B$3)),"")</f>
        <v/>
      </c>
      <c r="V86" s="7">
        <f>IF(ISNUMBER($E86),IF(AND(ISNUMBER($I86),ISNUMBER($H86)),IF($H86&lt;=$S86,$I86,IF(AND(ISNUMBER($G86),ISNUMBER($F86)),IF($F86&lt;=$S86,$G86,$E86),$E86)),IF(AND(ISNUMBER($G86),ISNUMBER($F86)),IF($F86&lt;=$S86,$G86,$E86),$E86))*(1+IF($J86="Y",0,Assumptions!$B$3)),"")</f>
        <v/>
      </c>
      <c r="W86" s="7">
        <f>IF(ISNUMBER($T86),$Q86*$T86/Assumptions!$B$4,"")</f>
        <v/>
      </c>
      <c r="X86" s="7">
        <f>IF(ISNUMBER($U86),$R86*$U86/Assumptions!$B$5,"")</f>
        <v/>
      </c>
      <c r="Y86" s="7">
        <f>IF(ISNUMBER($V86),$S86*$V86/Assumptions!$B$6,"")</f>
        <v/>
      </c>
      <c r="Z86" s="8">
        <f>$A86&amp;"|"&amp;IF(ISNUMBER($W86),TEXT($W86,"0.0000"),"x")&amp;"|"&amp;$L86</f>
        <v/>
      </c>
      <c r="AA86" s="8">
        <f>$A86&amp;"|"&amp;IF(ISNUMBER($Y86),TEXT($Y86,"0.0000"),"x")&amp;"|"&amp;$L86</f>
        <v/>
      </c>
    </row>
    <row r="87">
      <c r="A87" s="8" t="inlineStr">
        <is>
          <t>SW3</t>
        </is>
      </c>
      <c r="B87" s="8" t="inlineStr">
        <is>
          <t>Core Electronics</t>
        </is>
      </c>
      <c r="C87" s="8" t="inlineStr">
        <is>
          <t>COM-08034</t>
        </is>
      </c>
      <c r="D87" s="12" t="n">
        <v>1</v>
      </c>
      <c r="E87" s="14" t="n">
        <v>3.36</v>
      </c>
      <c r="F87" s="12" t="n">
        <v>5</v>
      </c>
      <c r="G87" s="14" t="n">
        <v>3.26</v>
      </c>
      <c r="H87" s="12" t="n">
        <v>100</v>
      </c>
      <c r="I87" s="14" t="n">
        <v>3.06</v>
      </c>
      <c r="J87" s="12" t="inlineStr">
        <is>
          <t>N</t>
        </is>
      </c>
      <c r="K87" s="8" t="inlineStr">
        <is>
          <t>6 local, up to 500 in 5-11 days</t>
        </is>
      </c>
      <c r="L87" s="12" t="inlineStr">
        <is>
          <t>Y</t>
        </is>
      </c>
      <c r="M87" s="8" t="inlineStr">
        <is>
          <t>2026-10-24</t>
        </is>
      </c>
      <c r="N87" s="15" t="inlineStr">
        <is>
          <t>https://core-electronics.com.au/dip-switch-8-position.html</t>
        </is>
      </c>
      <c r="O87" s="8" t="inlineStr">
        <is>
          <t>SparkFun 8-position DIP, 0.1 in pins. Breaks 5+/25+/100+ = 3.26/3.20/3.06. $3.70 inc GST. Core Electronics: q1 and breaks recorded ex GST (page shows q1 inc GST as well).</t>
        </is>
      </c>
      <c r="P87" s="8">
        <f>IFERROR(VLOOKUP($A87,BOM!$A$2:$E$51,5,0),0)</f>
        <v/>
      </c>
      <c r="Q87" s="8">
        <f>CEILING($P87*Assumptions!$B$4/$D87,1)</f>
        <v/>
      </c>
      <c r="R87" s="8">
        <f>CEILING($P87*Assumptions!$B$5/$D87,1)</f>
        <v/>
      </c>
      <c r="S87" s="8">
        <f>CEILING($P87*Assumptions!$B$6/$D87,1)</f>
        <v/>
      </c>
      <c r="T87" s="7">
        <f>IF(ISNUMBER($E87),$E87*(1+IF($J87="Y",0,Assumptions!$B$3)),"")</f>
        <v/>
      </c>
      <c r="U87" s="7">
        <f>IF(ISNUMBER($E87),IF(AND(ISNUMBER($G87),ISNUMBER($F87)),IF($F87&lt;=$R87,$G87,$E87),$E87)*(1+IF($J87="Y",0,Assumptions!$B$3)),"")</f>
        <v/>
      </c>
      <c r="V87" s="7">
        <f>IF(ISNUMBER($E87),IF(AND(ISNUMBER($I87),ISNUMBER($H87)),IF($H87&lt;=$S87,$I87,IF(AND(ISNUMBER($G87),ISNUMBER($F87)),IF($F87&lt;=$S87,$G87,$E87),$E87)),IF(AND(ISNUMBER($G87),ISNUMBER($F87)),IF($F87&lt;=$S87,$G87,$E87),$E87))*(1+IF($J87="Y",0,Assumptions!$B$3)),"")</f>
        <v/>
      </c>
      <c r="W87" s="7">
        <f>IF(ISNUMBER($T87),$Q87*$T87/Assumptions!$B$4,"")</f>
        <v/>
      </c>
      <c r="X87" s="7">
        <f>IF(ISNUMBER($U87),$R87*$U87/Assumptions!$B$5,"")</f>
        <v/>
      </c>
      <c r="Y87" s="7">
        <f>IF(ISNUMBER($V87),$S87*$V87/Assumptions!$B$6,"")</f>
        <v/>
      </c>
      <c r="Z87" s="8">
        <f>$A87&amp;"|"&amp;IF(ISNUMBER($W87),TEXT($W87,"0.0000"),"x")&amp;"|"&amp;$L87</f>
        <v/>
      </c>
      <c r="AA87" s="8">
        <f>$A87&amp;"|"&amp;IF(ISNUMBER($Y87),TEXT($Y87,"0.0000"),"x")&amp;"|"&amp;$L87</f>
        <v/>
      </c>
    </row>
    <row r="88">
      <c r="A88" s="8" t="inlineStr">
        <is>
          <t>SW3</t>
        </is>
      </c>
      <c r="B88" s="8" t="inlineStr">
        <is>
          <t>Jaycar</t>
        </is>
      </c>
      <c r="C88" s="8" t="inlineStr">
        <is>
          <t>SM1024</t>
        </is>
      </c>
      <c r="D88" s="12" t="n">
        <v>1</v>
      </c>
      <c r="E88" s="14" t="n">
        <v>3.6</v>
      </c>
      <c r="F88" s="12" t="n"/>
      <c r="G88" s="14" t="n"/>
      <c r="H88" s="12" t="n"/>
      <c r="I88" s="14" t="n"/>
      <c r="J88" s="12" t="inlineStr">
        <is>
          <t>Y</t>
        </is>
      </c>
      <c r="K88" s="8" t="inlineStr">
        <is>
          <t>not shown (store select)</t>
        </is>
      </c>
      <c r="L88" s="12" t="inlineStr">
        <is>
          <t>Y</t>
        </is>
      </c>
      <c r="M88" s="8" t="inlineStr">
        <is>
          <t>2026-10-24</t>
        </is>
      </c>
      <c r="N88" s="15" t="inlineStr">
        <is>
          <t>https://jaycar.com.au/p/SM1024</t>
        </is>
      </c>
      <c r="O88" s="8" t="inlineStr">
        <is>
          <t>8-way DIL switch, 16-pin DIL package. Jaycar page price; GST not stated on page (retail shelf price, treated as incl. GST). Stock needs store selection; bulk tiers not shown.</t>
        </is>
      </c>
      <c r="P88" s="8">
        <f>IFERROR(VLOOKUP($A88,BOM!$A$2:$E$51,5,0),0)</f>
        <v/>
      </c>
      <c r="Q88" s="8">
        <f>CEILING($P88*Assumptions!$B$4/$D88,1)</f>
        <v/>
      </c>
      <c r="R88" s="8">
        <f>CEILING($P88*Assumptions!$B$5/$D88,1)</f>
        <v/>
      </c>
      <c r="S88" s="8">
        <f>CEILING($P88*Assumptions!$B$6/$D88,1)</f>
        <v/>
      </c>
      <c r="T88" s="7">
        <f>IF(ISNUMBER($E88),$E88*(1+IF($J88="Y",0,Assumptions!$B$3)),"")</f>
        <v/>
      </c>
      <c r="U88" s="7">
        <f>IF(ISNUMBER($E88),IF(AND(ISNUMBER($G88),ISNUMBER($F88)),IF($F88&lt;=$R88,$G88,$E88),$E88)*(1+IF($J88="Y",0,Assumptions!$B$3)),"")</f>
        <v/>
      </c>
      <c r="V88" s="7">
        <f>IF(ISNUMBER($E88),IF(AND(ISNUMBER($I88),ISNUMBER($H88)),IF($H88&lt;=$S88,$I88,IF(AND(ISNUMBER($G88),ISNUMBER($F88)),IF($F88&lt;=$S88,$G88,$E88),$E88)),IF(AND(ISNUMBER($G88),ISNUMBER($F88)),IF($F88&lt;=$S88,$G88,$E88),$E88))*(1+IF($J88="Y",0,Assumptions!$B$3)),"")</f>
        <v/>
      </c>
      <c r="W88" s="7">
        <f>IF(ISNUMBER($T88),$Q88*$T88/Assumptions!$B$4,"")</f>
        <v/>
      </c>
      <c r="X88" s="7">
        <f>IF(ISNUMBER($U88),$R88*$U88/Assumptions!$B$5,"")</f>
        <v/>
      </c>
      <c r="Y88" s="7">
        <f>IF(ISNUMBER($V88),$S88*$V88/Assumptions!$B$6,"")</f>
        <v/>
      </c>
      <c r="Z88" s="8">
        <f>$A88&amp;"|"&amp;IF(ISNUMBER($W88),TEXT($W88,"0.0000"),"x")&amp;"|"&amp;$L88</f>
        <v/>
      </c>
      <c r="AA88" s="8">
        <f>$A88&amp;"|"&amp;IF(ISNUMBER($Y88),TEXT($Y88,"0.0000"),"x")&amp;"|"&amp;$L88</f>
        <v/>
      </c>
    </row>
    <row r="89">
      <c r="A89" s="8" t="inlineStr">
        <is>
          <t>SW4</t>
        </is>
      </c>
      <c r="B89" s="8" t="inlineStr">
        <is>
          <t>Jaycar</t>
        </is>
      </c>
      <c r="C89" s="8" t="inlineStr">
        <is>
          <t>SM1020</t>
        </is>
      </c>
      <c r="D89" s="12" t="n">
        <v>1</v>
      </c>
      <c r="E89" s="14" t="n">
        <v>2.95</v>
      </c>
      <c r="F89" s="12" t="n"/>
      <c r="G89" s="14" t="n"/>
      <c r="H89" s="12" t="n"/>
      <c r="I89" s="14" t="n"/>
      <c r="J89" s="12" t="inlineStr">
        <is>
          <t>Y</t>
        </is>
      </c>
      <c r="K89" s="8" t="inlineStr">
        <is>
          <t>not shown (store select)</t>
        </is>
      </c>
      <c r="L89" s="12" t="inlineStr">
        <is>
          <t>Y</t>
        </is>
      </c>
      <c r="M89" s="8" t="inlineStr">
        <is>
          <t>2026-10-24</t>
        </is>
      </c>
      <c r="N89" s="15" t="inlineStr">
        <is>
          <t>https://jaycar.com.au/p/SM1020</t>
        </is>
      </c>
      <c r="O89" s="8" t="inlineStr">
        <is>
          <t>4-way DIL switch, 8-pin DIL package. Jaycar page price; GST not stated on page (retail shelf price, treated as incl. GST). Stock needs store selection; bulk tiers not shown.</t>
        </is>
      </c>
      <c r="P89" s="8">
        <f>IFERROR(VLOOKUP($A89,BOM!$A$2:$E$51,5,0),0)</f>
        <v/>
      </c>
      <c r="Q89" s="8">
        <f>CEILING($P89*Assumptions!$B$4/$D89,1)</f>
        <v/>
      </c>
      <c r="R89" s="8">
        <f>CEILING($P89*Assumptions!$B$5/$D89,1)</f>
        <v/>
      </c>
      <c r="S89" s="8">
        <f>CEILING($P89*Assumptions!$B$6/$D89,1)</f>
        <v/>
      </c>
      <c r="T89" s="7">
        <f>IF(ISNUMBER($E89),$E89*(1+IF($J89="Y",0,Assumptions!$B$3)),"")</f>
        <v/>
      </c>
      <c r="U89" s="7">
        <f>IF(ISNUMBER($E89),IF(AND(ISNUMBER($G89),ISNUMBER($F89)),IF($F89&lt;=$R89,$G89,$E89),$E89)*(1+IF($J89="Y",0,Assumptions!$B$3)),"")</f>
        <v/>
      </c>
      <c r="V89" s="7">
        <f>IF(ISNUMBER($E89),IF(AND(ISNUMBER($I89),ISNUMBER($H89)),IF($H89&lt;=$S89,$I89,IF(AND(ISNUMBER($G89),ISNUMBER($F89)),IF($F89&lt;=$S89,$G89,$E89),$E89)),IF(AND(ISNUMBER($G89),ISNUMBER($F89)),IF($F89&lt;=$S89,$G89,$E89),$E89))*(1+IF($J89="Y",0,Assumptions!$B$3)),"")</f>
        <v/>
      </c>
      <c r="W89" s="7">
        <f>IF(ISNUMBER($T89),$Q89*$T89/Assumptions!$B$4,"")</f>
        <v/>
      </c>
      <c r="X89" s="7">
        <f>IF(ISNUMBER($U89),$R89*$U89/Assumptions!$B$5,"")</f>
        <v/>
      </c>
      <c r="Y89" s="7">
        <f>IF(ISNUMBER($V89),$S89*$V89/Assumptions!$B$6,"")</f>
        <v/>
      </c>
      <c r="Z89" s="8">
        <f>$A89&amp;"|"&amp;IF(ISNUMBER($W89),TEXT($W89,"0.0000"),"x")&amp;"|"&amp;$L89</f>
        <v/>
      </c>
      <c r="AA89" s="8">
        <f>$A89&amp;"|"&amp;IF(ISNUMBER($Y89),TEXT($Y89,"0.0000"),"x")&amp;"|"&amp;$L89</f>
        <v/>
      </c>
    </row>
    <row r="90">
      <c r="A90" s="8" t="inlineStr">
        <is>
          <t>SW4</t>
        </is>
      </c>
      <c r="B90" s="8" t="inlineStr">
        <is>
          <t>Wiltronics</t>
        </is>
      </c>
      <c r="C90" s="8" t="inlineStr">
        <is>
          <t>SW3004</t>
        </is>
      </c>
      <c r="D90" s="12" t="n">
        <v>1</v>
      </c>
      <c r="E90" s="14" t="n">
        <v>1.9</v>
      </c>
      <c r="F90" s="12" t="n">
        <v>10</v>
      </c>
      <c r="G90" s="14" t="n">
        <v>1.65</v>
      </c>
      <c r="H90" s="12" t="n">
        <v>25</v>
      </c>
      <c r="I90" s="14" t="n">
        <v>1.5</v>
      </c>
      <c r="J90" s="12" t="inlineStr">
        <is>
          <t>Y</t>
        </is>
      </c>
      <c r="K90" s="8" t="inlineStr">
        <is>
          <t>not shown</t>
        </is>
      </c>
      <c r="L90" s="12" t="inlineStr">
        <is>
          <t>Y</t>
        </is>
      </c>
      <c r="M90" s="8" t="inlineStr">
        <is>
          <t>2026-10-24</t>
        </is>
      </c>
      <c r="N90" s="15" t="inlineStr">
        <is>
          <t>https://www.wiltronics.com.au/product/3336/4-way-dil-switch/</t>
        </is>
      </c>
      <c r="O90" s="8" t="inlineStr">
        <is>
          <t>4-way DIL switch. Page states incl GST. Not on preferred list (Australian retailer); Core and Altronics 4-way not found/fetchable. Protostack SW-DIP-4 also $1.70, 41 in stock.</t>
        </is>
      </c>
      <c r="P90" s="8">
        <f>IFERROR(VLOOKUP($A90,BOM!$A$2:$E$51,5,0),0)</f>
        <v/>
      </c>
      <c r="Q90" s="8">
        <f>CEILING($P90*Assumptions!$B$4/$D90,1)</f>
        <v/>
      </c>
      <c r="R90" s="8">
        <f>CEILING($P90*Assumptions!$B$5/$D90,1)</f>
        <v/>
      </c>
      <c r="S90" s="8">
        <f>CEILING($P90*Assumptions!$B$6/$D90,1)</f>
        <v/>
      </c>
      <c r="T90" s="7">
        <f>IF(ISNUMBER($E90),$E90*(1+IF($J90="Y",0,Assumptions!$B$3)),"")</f>
        <v/>
      </c>
      <c r="U90" s="7">
        <f>IF(ISNUMBER($E90),IF(AND(ISNUMBER($G90),ISNUMBER($F90)),IF($F90&lt;=$R90,$G90,$E90),$E90)*(1+IF($J90="Y",0,Assumptions!$B$3)),"")</f>
        <v/>
      </c>
      <c r="V90" s="7">
        <f>IF(ISNUMBER($E90),IF(AND(ISNUMBER($I90),ISNUMBER($H90)),IF($H90&lt;=$S90,$I90,IF(AND(ISNUMBER($G90),ISNUMBER($F90)),IF($F90&lt;=$S90,$G90,$E90),$E90)),IF(AND(ISNUMBER($G90),ISNUMBER($F90)),IF($F90&lt;=$S90,$G90,$E90),$E90))*(1+IF($J90="Y",0,Assumptions!$B$3)),"")</f>
        <v/>
      </c>
      <c r="W90" s="7">
        <f>IF(ISNUMBER($T90),$Q90*$T90/Assumptions!$B$4,"")</f>
        <v/>
      </c>
      <c r="X90" s="7">
        <f>IF(ISNUMBER($U90),$R90*$U90/Assumptions!$B$5,"")</f>
        <v/>
      </c>
      <c r="Y90" s="7">
        <f>IF(ISNUMBER($V90),$S90*$V90/Assumptions!$B$6,"")</f>
        <v/>
      </c>
      <c r="Z90" s="8">
        <f>$A90&amp;"|"&amp;IF(ISNUMBER($W90),TEXT($W90,"0.0000"),"x")&amp;"|"&amp;$L90</f>
        <v/>
      </c>
      <c r="AA90" s="8">
        <f>$A90&amp;"|"&amp;IF(ISNUMBER($Y90),TEXT($Y90,"0.0000"),"x")&amp;"|"&amp;$L90</f>
        <v/>
      </c>
    </row>
    <row r="91">
      <c r="A91" s="8" t="inlineStr">
        <is>
          <t>BB01</t>
        </is>
      </c>
      <c r="B91" s="8" t="inlineStr">
        <is>
          <t>Core Electronics</t>
        </is>
      </c>
      <c r="C91" s="8" t="inlineStr">
        <is>
          <t>CE00304</t>
        </is>
      </c>
      <c r="D91" s="12" t="n">
        <v>1</v>
      </c>
      <c r="E91" s="14" t="n">
        <v>3.59</v>
      </c>
      <c r="F91" s="12" t="n">
        <v>25</v>
      </c>
      <c r="G91" s="14" t="n">
        <v>3.41</v>
      </c>
      <c r="H91" s="12" t="n">
        <v>100</v>
      </c>
      <c r="I91" s="14" t="n">
        <v>3.05</v>
      </c>
      <c r="J91" s="12" t="inlineStr">
        <is>
          <t>N</t>
        </is>
      </c>
      <c r="K91" s="8" t="inlineStr">
        <is>
          <t>355 local, up to 300 in 8-12 days</t>
        </is>
      </c>
      <c r="L91" s="12" t="inlineStr">
        <is>
          <t>Y</t>
        </is>
      </c>
      <c r="M91" s="8" t="inlineStr">
        <is>
          <t>2026-10-24</t>
        </is>
      </c>
      <c r="N91" s="15" t="inlineStr">
        <is>
          <t>https://core-electronics.com.au/solderless-breadboard-830-tie-point-zy-102.html</t>
        </is>
      </c>
      <c r="O91" s="8" t="inlineStr">
        <is>
          <t>ZY-102 830 tie-point. Breaks 25+/50+/100+ = 3.41/3.24/3.05 (no 10 break). $3.95 inc GST. Core Electronics: q1 and breaks recorded ex GST (page shows q1 inc GST as well).</t>
        </is>
      </c>
      <c r="P91" s="8">
        <f>IFERROR(VLOOKUP($A91,BOM!$A$2:$E$51,5,0),0)</f>
        <v/>
      </c>
      <c r="Q91" s="8">
        <f>CEILING($P91*Assumptions!$B$4/$D91,1)</f>
        <v/>
      </c>
      <c r="R91" s="8">
        <f>CEILING($P91*Assumptions!$B$5/$D91,1)</f>
        <v/>
      </c>
      <c r="S91" s="8">
        <f>CEILING($P91*Assumptions!$B$6/$D91,1)</f>
        <v/>
      </c>
      <c r="T91" s="7">
        <f>IF(ISNUMBER($E91),$E91*(1+IF($J91="Y",0,Assumptions!$B$3)),"")</f>
        <v/>
      </c>
      <c r="U91" s="7">
        <f>IF(ISNUMBER($E91),IF(AND(ISNUMBER($G91),ISNUMBER($F91)),IF($F91&lt;=$R91,$G91,$E91),$E91)*(1+IF($J91="Y",0,Assumptions!$B$3)),"")</f>
        <v/>
      </c>
      <c r="V91" s="7">
        <f>IF(ISNUMBER($E91),IF(AND(ISNUMBER($I91),ISNUMBER($H91)),IF($H91&lt;=$S91,$I91,IF(AND(ISNUMBER($G91),ISNUMBER($F91)),IF($F91&lt;=$S91,$G91,$E91),$E91)),IF(AND(ISNUMBER($G91),ISNUMBER($F91)),IF($F91&lt;=$S91,$G91,$E91),$E91))*(1+IF($J91="Y",0,Assumptions!$B$3)),"")</f>
        <v/>
      </c>
      <c r="W91" s="7">
        <f>IF(ISNUMBER($T91),$Q91*$T91/Assumptions!$B$4,"")</f>
        <v/>
      </c>
      <c r="X91" s="7">
        <f>IF(ISNUMBER($U91),$R91*$U91/Assumptions!$B$5,"")</f>
        <v/>
      </c>
      <c r="Y91" s="7">
        <f>IF(ISNUMBER($V91),$S91*$V91/Assumptions!$B$6,"")</f>
        <v/>
      </c>
      <c r="Z91" s="8">
        <f>$A91&amp;"|"&amp;IF(ISNUMBER($W91),TEXT($W91,"0.0000"),"x")&amp;"|"&amp;$L91</f>
        <v/>
      </c>
      <c r="AA91" s="8">
        <f>$A91&amp;"|"&amp;IF(ISNUMBER($Y91),TEXT($Y91,"0.0000"),"x")&amp;"|"&amp;$L91</f>
        <v/>
      </c>
    </row>
    <row r="92">
      <c r="A92" s="8" t="inlineStr">
        <is>
          <t>BB01</t>
        </is>
      </c>
      <c r="B92" s="8" t="inlineStr">
        <is>
          <t>Jaycar</t>
        </is>
      </c>
      <c r="C92" s="8" t="inlineStr">
        <is>
          <t>PB8815</t>
        </is>
      </c>
      <c r="D92" s="12" t="n">
        <v>1</v>
      </c>
      <c r="E92" s="14" t="n">
        <v>20.95</v>
      </c>
      <c r="F92" s="12" t="n">
        <v>6</v>
      </c>
      <c r="G92" s="14" t="n">
        <v>16.45</v>
      </c>
      <c r="H92" s="12" t="n"/>
      <c r="I92" s="14" t="n"/>
      <c r="J92" s="12" t="inlineStr">
        <is>
          <t>Y</t>
        </is>
      </c>
      <c r="K92" s="8" t="inlineStr">
        <is>
          <t>not shown (store select)</t>
        </is>
      </c>
      <c r="L92" s="12" t="inlineStr">
        <is>
          <t>Y</t>
        </is>
      </c>
      <c r="M92" s="8" t="inlineStr">
        <is>
          <t>2026-10-24</t>
        </is>
      </c>
      <c r="N92" s="15" t="inlineStr">
        <is>
          <t>https://jaycar.com.au/p/PB8815</t>
        </is>
      </c>
      <c r="O92" s="8" t="inlineStr">
        <is>
          <t>830 tie-point breadboard. Tiers: 5 $18.45, 6+ $16.45. GST not stated on page (treated as incl.).</t>
        </is>
      </c>
      <c r="P92" s="8">
        <f>IFERROR(VLOOKUP($A92,BOM!$A$2:$E$51,5,0),0)</f>
        <v/>
      </c>
      <c r="Q92" s="8">
        <f>CEILING($P92*Assumptions!$B$4/$D92,1)</f>
        <v/>
      </c>
      <c r="R92" s="8">
        <f>CEILING($P92*Assumptions!$B$5/$D92,1)</f>
        <v/>
      </c>
      <c r="S92" s="8">
        <f>CEILING($P92*Assumptions!$B$6/$D92,1)</f>
        <v/>
      </c>
      <c r="T92" s="7">
        <f>IF(ISNUMBER($E92),$E92*(1+IF($J92="Y",0,Assumptions!$B$3)),"")</f>
        <v/>
      </c>
      <c r="U92" s="7">
        <f>IF(ISNUMBER($E92),IF(AND(ISNUMBER($G92),ISNUMBER($F92)),IF($F92&lt;=$R92,$G92,$E92),$E92)*(1+IF($J92="Y",0,Assumptions!$B$3)),"")</f>
        <v/>
      </c>
      <c r="V92" s="7">
        <f>IF(ISNUMBER($E92),IF(AND(ISNUMBER($I92),ISNUMBER($H92)),IF($H92&lt;=$S92,$I92,IF(AND(ISNUMBER($G92),ISNUMBER($F92)),IF($F92&lt;=$S92,$G92,$E92),$E92)),IF(AND(ISNUMBER($G92),ISNUMBER($F92)),IF($F92&lt;=$S92,$G92,$E92),$E92))*(1+IF($J92="Y",0,Assumptions!$B$3)),"")</f>
        <v/>
      </c>
      <c r="W92" s="7">
        <f>IF(ISNUMBER($T92),$Q92*$T92/Assumptions!$B$4,"")</f>
        <v/>
      </c>
      <c r="X92" s="7">
        <f>IF(ISNUMBER($U92),$R92*$U92/Assumptions!$B$5,"")</f>
        <v/>
      </c>
      <c r="Y92" s="7">
        <f>IF(ISNUMBER($V92),$S92*$V92/Assumptions!$B$6,"")</f>
        <v/>
      </c>
      <c r="Z92" s="8">
        <f>$A92&amp;"|"&amp;IF(ISNUMBER($W92),TEXT($W92,"0.0000"),"x")&amp;"|"&amp;$L92</f>
        <v/>
      </c>
      <c r="AA92" s="8">
        <f>$A92&amp;"|"&amp;IF(ISNUMBER($Y92),TEXT($Y92,"0.0000"),"x")&amp;"|"&amp;$L92</f>
        <v/>
      </c>
    </row>
    <row r="93">
      <c r="A93" s="16" t="inlineStr">
        <is>
          <t>W01</t>
        </is>
      </c>
      <c r="B93" s="16" t="inlineStr">
        <is>
          <t>Altronics</t>
        </is>
      </c>
      <c r="C93" s="16" t="inlineStr">
        <is>
          <t>W2430</t>
        </is>
      </c>
      <c r="D93" s="17" t="n">
        <v>1</v>
      </c>
      <c r="E93" s="18" t="n">
        <v>26.95</v>
      </c>
      <c r="F93" s="17" t="n">
        <v>4</v>
      </c>
      <c r="G93" s="18" t="n">
        <v>21.75</v>
      </c>
      <c r="H93" s="17" t="n"/>
      <c r="I93" s="18" t="n"/>
      <c r="J93" s="17" t="inlineStr">
        <is>
          <t>Y</t>
        </is>
      </c>
      <c r="K93" s="16" t="inlineStr">
        <is>
          <t>not shown</t>
        </is>
      </c>
      <c r="L93" s="17" t="inlineStr">
        <is>
          <t>N</t>
        </is>
      </c>
      <c r="M93" s="16" t="inlineStr">
        <is>
          <t>2026-10-24</t>
        </is>
      </c>
      <c r="N93" s="19" t="inlineStr">
        <is>
          <t>https://www.altronics.com.au/product/w2430-solid-core-05mm-6-colour-hobby-wire-pack</t>
        </is>
      </c>
      <c r="O93" s="16" t="inlineStr">
        <is>
          <t>0.5 mm (about 24 AWG), not 22 AWG. Solid core 0.5 mm (approx 24 AWG, not 22 AWG) 6-colour hobby wire pack, 10 m each. Breaks 2+ $24.25, 4+ $21.75. Price read from altronics search page sr=W2430; incl GST per page. Jaycar WH3032 (24 AWG, 5 colours, $8.25) also seen.</t>
        </is>
      </c>
      <c r="P93" s="8">
        <f>IFERROR(VLOOKUP($A93,BOM!$A$2:$E$51,5,0),0)</f>
        <v/>
      </c>
      <c r="Q93" s="8">
        <f>CEILING($P93*Assumptions!$B$4/$D93,1)</f>
        <v/>
      </c>
      <c r="R93" s="8">
        <f>CEILING($P93*Assumptions!$B$5/$D93,1)</f>
        <v/>
      </c>
      <c r="S93" s="8">
        <f>CEILING($P93*Assumptions!$B$6/$D93,1)</f>
        <v/>
      </c>
      <c r="T93" s="7">
        <f>IF(ISNUMBER($E93),$E93*(1+IF($J93="Y",0,Assumptions!$B$3)),"")</f>
        <v/>
      </c>
      <c r="U93" s="7">
        <f>IF(ISNUMBER($E93),IF(AND(ISNUMBER($G93),ISNUMBER($F93)),IF($F93&lt;=$R93,$G93,$E93),$E93)*(1+IF($J93="Y",0,Assumptions!$B$3)),"")</f>
        <v/>
      </c>
      <c r="V93" s="7">
        <f>IF(ISNUMBER($E93),IF(AND(ISNUMBER($I93),ISNUMBER($H93)),IF($H93&lt;=$S93,$I93,IF(AND(ISNUMBER($G93),ISNUMBER($F93)),IF($F93&lt;=$S93,$G93,$E93),$E93)),IF(AND(ISNUMBER($G93),ISNUMBER($F93)),IF($F93&lt;=$S93,$G93,$E93),$E93))*(1+IF($J93="Y",0,Assumptions!$B$3)),"")</f>
        <v/>
      </c>
      <c r="W93" s="7">
        <f>IF(ISNUMBER($T93),$Q93*$T93/Assumptions!$B$4,"")</f>
        <v/>
      </c>
      <c r="X93" s="7">
        <f>IF(ISNUMBER($U93),$R93*$U93/Assumptions!$B$5,"")</f>
        <v/>
      </c>
      <c r="Y93" s="7">
        <f>IF(ISNUMBER($V93),$S93*$V93/Assumptions!$B$6,"")</f>
        <v/>
      </c>
      <c r="Z93" s="8">
        <f>$A93&amp;"|"&amp;IF(ISNUMBER($W93),TEXT($W93,"0.0000"),"x")&amp;"|"&amp;$L93</f>
        <v/>
      </c>
      <c r="AA93" s="8">
        <f>$A93&amp;"|"&amp;IF(ISNUMBER($Y93),TEXT($Y93,"0.0000"),"x")&amp;"|"&amp;$L93</f>
        <v/>
      </c>
    </row>
    <row r="94">
      <c r="A94" s="8" t="inlineStr">
        <is>
          <t>W01</t>
        </is>
      </c>
      <c r="B94" s="8" t="inlineStr">
        <is>
          <t>Core Electronics</t>
        </is>
      </c>
      <c r="C94" s="8" t="inlineStr">
        <is>
          <t>PRT-11367</t>
        </is>
      </c>
      <c r="D94" s="12" t="n">
        <v>1</v>
      </c>
      <c r="E94" s="14" t="n">
        <v>48.91</v>
      </c>
      <c r="F94" s="12" t="n">
        <v>5</v>
      </c>
      <c r="G94" s="14" t="n">
        <v>47.45</v>
      </c>
      <c r="H94" s="12" t="n">
        <v>100</v>
      </c>
      <c r="I94" s="14" t="n">
        <v>44.51</v>
      </c>
      <c r="J94" s="12" t="inlineStr">
        <is>
          <t>N</t>
        </is>
      </c>
      <c r="K94" s="8" t="inlineStr">
        <is>
          <t>13 local</t>
        </is>
      </c>
      <c r="L94" s="12" t="inlineStr">
        <is>
          <t>Y</t>
        </is>
      </c>
      <c r="M94" s="8" t="inlineStr">
        <is>
          <t>2026-10-24</t>
        </is>
      </c>
      <c r="N94" s="15" t="inlineStr">
        <is>
          <t>https://core-electronics.com.au/hook-up-wire-assortment-solid-core-22-awg.html</t>
        </is>
      </c>
      <c r="O94" s="8" t="inlineStr">
        <is>
          <t>SparkFun 22 AWG solid core, 6 colours x 25 ft (7.6 m) in dispenser box. Breaks 5+/25+/100+ = 47.45/46.46/44.51. $53.80 inc GST. Core Electronics: q1 and breaks recorded ex GST (page shows q1 inc GST as well).</t>
        </is>
      </c>
      <c r="P94" s="8">
        <f>IFERROR(VLOOKUP($A94,BOM!$A$2:$E$51,5,0),0)</f>
        <v/>
      </c>
      <c r="Q94" s="8">
        <f>CEILING($P94*Assumptions!$B$4/$D94,1)</f>
        <v/>
      </c>
      <c r="R94" s="8">
        <f>CEILING($P94*Assumptions!$B$5/$D94,1)</f>
        <v/>
      </c>
      <c r="S94" s="8">
        <f>CEILING($P94*Assumptions!$B$6/$D94,1)</f>
        <v/>
      </c>
      <c r="T94" s="7">
        <f>IF(ISNUMBER($E94),$E94*(1+IF($J94="Y",0,Assumptions!$B$3)),"")</f>
        <v/>
      </c>
      <c r="U94" s="7">
        <f>IF(ISNUMBER($E94),IF(AND(ISNUMBER($G94),ISNUMBER($F94)),IF($F94&lt;=$R94,$G94,$E94),$E94)*(1+IF($J94="Y",0,Assumptions!$B$3)),"")</f>
        <v/>
      </c>
      <c r="V94" s="7">
        <f>IF(ISNUMBER($E94),IF(AND(ISNUMBER($I94),ISNUMBER($H94)),IF($H94&lt;=$S94,$I94,IF(AND(ISNUMBER($G94),ISNUMBER($F94)),IF($F94&lt;=$S94,$G94,$E94),$E94)),IF(AND(ISNUMBER($G94),ISNUMBER($F94)),IF($F94&lt;=$S94,$G94,$E94),$E94))*(1+IF($J94="Y",0,Assumptions!$B$3)),"")</f>
        <v/>
      </c>
      <c r="W94" s="7">
        <f>IF(ISNUMBER($T94),$Q94*$T94/Assumptions!$B$4,"")</f>
        <v/>
      </c>
      <c r="X94" s="7">
        <f>IF(ISNUMBER($U94),$R94*$U94/Assumptions!$B$5,"")</f>
        <v/>
      </c>
      <c r="Y94" s="7">
        <f>IF(ISNUMBER($V94),$S94*$V94/Assumptions!$B$6,"")</f>
        <v/>
      </c>
      <c r="Z94" s="8">
        <f>$A94&amp;"|"&amp;IF(ISNUMBER($W94),TEXT($W94,"0.0000"),"x")&amp;"|"&amp;$L94</f>
        <v/>
      </c>
      <c r="AA94" s="8">
        <f>$A94&amp;"|"&amp;IF(ISNUMBER($Y94),TEXT($Y94,"0.0000"),"x")&amp;"|"&amp;$L94</f>
        <v/>
      </c>
    </row>
    <row r="95">
      <c r="A95" s="8" t="inlineStr">
        <is>
          <t>PS02</t>
        </is>
      </c>
      <c r="B95" s="8" t="inlineStr">
        <is>
          <t>Core Electronics</t>
        </is>
      </c>
      <c r="C95" s="8" t="inlineStr">
        <is>
          <t>Adafruit 4090 (ADA4090)</t>
        </is>
      </c>
      <c r="D95" s="12" t="n">
        <v>1</v>
      </c>
      <c r="E95" s="14" t="n">
        <v>4.91</v>
      </c>
      <c r="F95" s="12" t="n">
        <v>10</v>
      </c>
      <c r="G95" s="14" t="n">
        <v>4.76</v>
      </c>
      <c r="H95" s="12" t="n">
        <v>50</v>
      </c>
      <c r="I95" s="14" t="n">
        <v>4.66</v>
      </c>
      <c r="J95" s="12" t="inlineStr">
        <is>
          <t>N</t>
        </is>
      </c>
      <c r="K95" s="8" t="inlineStr">
        <is>
          <t>none local; supplier lead time</t>
        </is>
      </c>
      <c r="L95" s="12" t="inlineStr">
        <is>
          <t>Y</t>
        </is>
      </c>
      <c r="M95" s="8" t="inlineStr">
        <is>
          <t>2026-10-25</t>
        </is>
      </c>
      <c r="N95" s="15" t="inlineStr">
        <is>
          <t>https://core-electronics.com.au/catalog/product/view/sku/ADA4090</t>
        </is>
      </c>
      <c r="O95" s="8" t="inlineStr">
        <is>
          <t>USB-C downstream breakout; two 5.1 kOhm CC resistors ask the source for 5 V at up to 1.5 A; 8-pin 0.1 in header (GND, VBUS, SBU2, CC1, D-, D+, SBU1, CC2). $5.40 inc GST. Recorded ex GST.</t>
        </is>
      </c>
      <c r="P95" s="8">
        <f>IFERROR(VLOOKUP($A95,BOM!$A$2:$E$51,5,0),0)</f>
        <v/>
      </c>
      <c r="Q95" s="8">
        <f>CEILING($P95*Assumptions!$B$4/$D95,1)</f>
        <v/>
      </c>
      <c r="R95" s="8">
        <f>CEILING($P95*Assumptions!$B$5/$D95,1)</f>
        <v/>
      </c>
      <c r="S95" s="8">
        <f>CEILING($P95*Assumptions!$B$6/$D95,1)</f>
        <v/>
      </c>
      <c r="T95" s="7">
        <f>IF(ISNUMBER($E95),$E95*(1+IF($J95="Y",0,Assumptions!$B$3)),"")</f>
        <v/>
      </c>
      <c r="U95" s="7">
        <f>IF(ISNUMBER($E95),IF(AND(ISNUMBER($G95),ISNUMBER($F95)),IF($F95&lt;=$R95,$G95,$E95),$E95)*(1+IF($J95="Y",0,Assumptions!$B$3)),"")</f>
        <v/>
      </c>
      <c r="V95" s="7">
        <f>IF(ISNUMBER($E95),IF(AND(ISNUMBER($I95),ISNUMBER($H95)),IF($H95&lt;=$S95,$I95,IF(AND(ISNUMBER($G95),ISNUMBER($F95)),IF($F95&lt;=$S95,$G95,$E95),$E95)),IF(AND(ISNUMBER($G95),ISNUMBER($F95)),IF($F95&lt;=$S95,$G95,$E95),$E95))*(1+IF($J95="Y",0,Assumptions!$B$3)),"")</f>
        <v/>
      </c>
      <c r="W95" s="7">
        <f>IF(ISNUMBER($T95),$Q95*$T95/Assumptions!$B$4,"")</f>
        <v/>
      </c>
      <c r="X95" s="7">
        <f>IF(ISNUMBER($U95),$R95*$U95/Assumptions!$B$5,"")</f>
        <v/>
      </c>
      <c r="Y95" s="7">
        <f>IF(ISNUMBER($V95),$S95*$V95/Assumptions!$B$6,"")</f>
        <v/>
      </c>
      <c r="Z95" s="8">
        <f>$A95&amp;"|"&amp;IF(ISNUMBER($W95),TEXT($W95,"0.0000"),"x")&amp;"|"&amp;$L95</f>
        <v/>
      </c>
      <c r="AA95" s="8">
        <f>$A95&amp;"|"&amp;IF(ISNUMBER($Y95),TEXT($Y95,"0.0000"),"x")&amp;"|"&amp;$L95</f>
        <v/>
      </c>
    </row>
    <row r="96">
      <c r="A96" s="8" t="inlineStr">
        <is>
          <t>F01</t>
        </is>
      </c>
      <c r="B96" s="8" t="inlineStr">
        <is>
          <t>RS Components Australia</t>
        </is>
      </c>
      <c r="C96" s="8" t="inlineStr">
        <is>
          <t>517-6770 / MPN RUEF110</t>
        </is>
      </c>
      <c r="D96" s="12" t="n">
        <v>10</v>
      </c>
      <c r="E96" s="14" t="n">
        <v>5.54</v>
      </c>
      <c r="F96" s="12" t="n"/>
      <c r="G96" s="14" t="n"/>
      <c r="H96" s="12" t="n">
        <v>150</v>
      </c>
      <c r="I96" s="14" t="n">
        <v>5.49</v>
      </c>
      <c r="J96" s="12" t="inlineStr">
        <is>
          <t>N</t>
        </is>
      </c>
      <c r="K96" s="8" t="inlineStr">
        <is>
          <t>1 pack of 10 in stock; more from 23 and 30 Oct 2026</t>
        </is>
      </c>
      <c r="L96" s="12" t="inlineStr">
        <is>
          <t>Y</t>
        </is>
      </c>
      <c r="M96" s="8" t="inlineStr">
        <is>
          <t>2026-10-24</t>
        </is>
      </c>
      <c r="N96" s="15" t="inlineStr">
        <is>
          <t>https://au.rs-online.com/web/p/resettable-fuses/5176770</t>
        </is>
      </c>
      <c r="O96" s="8" t="inlineStr">
        <is>
          <t>Littelfuse RUEF110, 1.1 A hold, 30 V radial; pack of 10, prices per pack ex GST ($6.09 inc GST); break 150+ units = $5.49/pack. Not on preferred list; Mouser/DigiKey AU pages did not return price.</t>
        </is>
      </c>
      <c r="P96" s="8">
        <f>IFERROR(VLOOKUP($A96,BOM!$A$2:$E$51,5,0),0)</f>
        <v/>
      </c>
      <c r="Q96" s="8">
        <f>CEILING($P96*Assumptions!$B$4/$D96,1)</f>
        <v/>
      </c>
      <c r="R96" s="8">
        <f>CEILING($P96*Assumptions!$B$5/$D96,1)</f>
        <v/>
      </c>
      <c r="S96" s="8">
        <f>CEILING($P96*Assumptions!$B$6/$D96,1)</f>
        <v/>
      </c>
      <c r="T96" s="7">
        <f>IF(ISNUMBER($E96),$E96*(1+IF($J96="Y",0,Assumptions!$B$3)),"")</f>
        <v/>
      </c>
      <c r="U96" s="7">
        <f>IF(ISNUMBER($E96),IF(AND(ISNUMBER($G96),ISNUMBER($F96)),IF($F96&lt;=$R96,$G96,$E96),$E96)*(1+IF($J96="Y",0,Assumptions!$B$3)),"")</f>
        <v/>
      </c>
      <c r="V96" s="7">
        <f>IF(ISNUMBER($E96),IF(AND(ISNUMBER($I96),ISNUMBER($H96)),IF($H96&lt;=$S96,$I96,IF(AND(ISNUMBER($G96),ISNUMBER($F96)),IF($F96&lt;=$S96,$G96,$E96),$E96)),IF(AND(ISNUMBER($G96),ISNUMBER($F96)),IF($F96&lt;=$S96,$G96,$E96),$E96))*(1+IF($J96="Y",0,Assumptions!$B$3)),"")</f>
        <v/>
      </c>
      <c r="W96" s="7">
        <f>IF(ISNUMBER($T96),$Q96*$T96/Assumptions!$B$4,"")</f>
        <v/>
      </c>
      <c r="X96" s="7">
        <f>IF(ISNUMBER($U96),$R96*$U96/Assumptions!$B$5,"")</f>
        <v/>
      </c>
      <c r="Y96" s="7">
        <f>IF(ISNUMBER($V96),$S96*$V96/Assumptions!$B$6,"")</f>
        <v/>
      </c>
      <c r="Z96" s="8">
        <f>$A96&amp;"|"&amp;IF(ISNUMBER($W96),TEXT($W96,"0.0000"),"x")&amp;"|"&amp;$L96</f>
        <v/>
      </c>
      <c r="AA96" s="8">
        <f>$A96&amp;"|"&amp;IF(ISNUMBER($Y96),TEXT($Y96,"0.0000"),"x")&amp;"|"&amp;$L96</f>
        <v/>
      </c>
    </row>
    <row r="97">
      <c r="A97" s="8" t="inlineStr">
        <is>
          <t>F01</t>
        </is>
      </c>
      <c r="B97" s="8" t="inlineStr">
        <is>
          <t>element14 Australia</t>
        </is>
      </c>
      <c r="C97" s="8" t="inlineStr">
        <is>
          <t>1345960 / MPN RXEF110</t>
        </is>
      </c>
      <c r="D97" s="12" t="n">
        <v>1</v>
      </c>
      <c r="E97" s="14" t="n">
        <v>0.74</v>
      </c>
      <c r="F97" s="12" t="n">
        <v>10</v>
      </c>
      <c r="G97" s="14" t="n">
        <v>0.681</v>
      </c>
      <c r="H97" s="12" t="n">
        <v>100</v>
      </c>
      <c r="I97" s="14" t="n">
        <v>0.512</v>
      </c>
      <c r="J97" s="12" t="inlineStr">
        <is>
          <t>N</t>
        </is>
      </c>
      <c r="K97" s="8" t="inlineStr">
        <is>
          <t>5,019 (UK) + 2,000 incoming</t>
        </is>
      </c>
      <c r="L97" s="12" t="inlineStr">
        <is>
          <t>Y</t>
        </is>
      </c>
      <c r="M97" s="8" t="inlineStr">
        <is>
          <t>2026-10-24</t>
        </is>
      </c>
      <c r="N97" s="15" t="inlineStr">
        <is>
          <t>https://au.element14.com/littelfuse/rxef110/polyswitch-radial-1-1a/dp/1345960</t>
        </is>
      </c>
      <c r="O97" s="8" t="inlineStr">
        <is>
          <t>Littelfuse PolySwitch RXEF110, 1.1 A hold, 72 V, radial. Min 1. Bourns MF-R110 (9350462) also $0.581 ex at 5+. element14 AU per-unit price ex GST (page also shows incl GST = +10%); ships from UK stock 3-5 business days.</t>
        </is>
      </c>
      <c r="P97" s="8">
        <f>IFERROR(VLOOKUP($A97,BOM!$A$2:$E$51,5,0),0)</f>
        <v/>
      </c>
      <c r="Q97" s="8">
        <f>CEILING($P97*Assumptions!$B$4/$D97,1)</f>
        <v/>
      </c>
      <c r="R97" s="8">
        <f>CEILING($P97*Assumptions!$B$5/$D97,1)</f>
        <v/>
      </c>
      <c r="S97" s="8">
        <f>CEILING($P97*Assumptions!$B$6/$D97,1)</f>
        <v/>
      </c>
      <c r="T97" s="7">
        <f>IF(ISNUMBER($E97),$E97*(1+IF($J97="Y",0,Assumptions!$B$3)),"")</f>
        <v/>
      </c>
      <c r="U97" s="7">
        <f>IF(ISNUMBER($E97),IF(AND(ISNUMBER($G97),ISNUMBER($F97)),IF($F97&lt;=$R97,$G97,$E97),$E97)*(1+IF($J97="Y",0,Assumptions!$B$3)),"")</f>
        <v/>
      </c>
      <c r="V97" s="7">
        <f>IF(ISNUMBER($E97),IF(AND(ISNUMBER($I97),ISNUMBER($H97)),IF($H97&lt;=$S97,$I97,IF(AND(ISNUMBER($G97),ISNUMBER($F97)),IF($F97&lt;=$S97,$G97,$E97),$E97)),IF(AND(ISNUMBER($G97),ISNUMBER($F97)),IF($F97&lt;=$S97,$G97,$E97),$E97))*(1+IF($J97="Y",0,Assumptions!$B$3)),"")</f>
        <v/>
      </c>
      <c r="W97" s="7">
        <f>IF(ISNUMBER($T97),$Q97*$T97/Assumptions!$B$4,"")</f>
        <v/>
      </c>
      <c r="X97" s="7">
        <f>IF(ISNUMBER($U97),$R97*$U97/Assumptions!$B$5,"")</f>
        <v/>
      </c>
      <c r="Y97" s="7">
        <f>IF(ISNUMBER($V97),$S97*$V97/Assumptions!$B$6,"")</f>
        <v/>
      </c>
      <c r="Z97" s="8">
        <f>$A97&amp;"|"&amp;IF(ISNUMBER($W97),TEXT($W97,"0.0000"),"x")&amp;"|"&amp;$L97</f>
        <v/>
      </c>
      <c r="AA97" s="8">
        <f>$A97&amp;"|"&amp;IF(ISNUMBER($Y97),TEXT($Y97,"0.0000"),"x")&amp;"|"&amp;$L97</f>
        <v/>
      </c>
    </row>
    <row r="98">
      <c r="A98" s="8" t="inlineStr">
        <is>
          <t>PSU</t>
        </is>
      </c>
      <c r="B98" s="8" t="inlineStr">
        <is>
          <t>Core Electronics</t>
        </is>
      </c>
      <c r="C98" s="8" t="inlineStr">
        <is>
          <t>Raspberry Pi 4 PSU USB-C 5.1V 3A white (CE06427)</t>
        </is>
      </c>
      <c r="D98" s="12" t="n">
        <v>1</v>
      </c>
      <c r="E98" s="14" t="n">
        <v>11.9</v>
      </c>
      <c r="F98" s="12" t="n"/>
      <c r="G98" s="14" t="n"/>
      <c r="H98" s="12" t="n"/>
      <c r="I98" s="14" t="n"/>
      <c r="J98" s="12" t="inlineStr">
        <is>
          <t>Y</t>
        </is>
      </c>
      <c r="K98" s="8" t="inlineStr">
        <is>
          <t>223</t>
        </is>
      </c>
      <c r="L98" s="12" t="inlineStr">
        <is>
          <t>Y</t>
        </is>
      </c>
      <c r="M98" s="8" t="inlineStr">
        <is>
          <t>2026-10-25</t>
        </is>
      </c>
      <c r="N98" s="15" t="inlineStr">
        <is>
          <t>https://core-electronics.com.au/raspberry-pi-4-official-power-supply-usb-c-5v-15w-white.html</t>
        </is>
      </c>
      <c r="O98" s="8" t="inlineStr">
        <is>
          <t>RCM approved; plug type not stated on page. No breaks.</t>
        </is>
      </c>
      <c r="P98" s="8">
        <f>IFERROR(VLOOKUP($A98,BOM!$A$2:$E$51,5,0),0)</f>
        <v/>
      </c>
      <c r="Q98" s="8">
        <f>CEILING($P98*Assumptions!$B$4/$D98,1)</f>
        <v/>
      </c>
      <c r="R98" s="8">
        <f>CEILING($P98*Assumptions!$B$5/$D98,1)</f>
        <v/>
      </c>
      <c r="S98" s="8">
        <f>CEILING($P98*Assumptions!$B$6/$D98,1)</f>
        <v/>
      </c>
      <c r="T98" s="7">
        <f>IF(ISNUMBER($E98),$E98*(1+IF($J98="Y",0,Assumptions!$B$3)),"")</f>
        <v/>
      </c>
      <c r="U98" s="7">
        <f>IF(ISNUMBER($E98),IF(AND(ISNUMBER($G98),ISNUMBER($F98)),IF($F98&lt;=$R98,$G98,$E98),$E98)*(1+IF($J98="Y",0,Assumptions!$B$3)),"")</f>
        <v/>
      </c>
      <c r="V98" s="7">
        <f>IF(ISNUMBER($E98),IF(AND(ISNUMBER($I98),ISNUMBER($H98)),IF($H98&lt;=$S98,$I98,IF(AND(ISNUMBER($G98),ISNUMBER($F98)),IF($F98&lt;=$S98,$G98,$E98),$E98)),IF(AND(ISNUMBER($G98),ISNUMBER($F98)),IF($F98&lt;=$S98,$G98,$E98),$E98))*(1+IF($J98="Y",0,Assumptions!$B$3)),"")</f>
        <v/>
      </c>
      <c r="W98" s="7">
        <f>IF(ISNUMBER($T98),$Q98*$T98/Assumptions!$B$4,"")</f>
        <v/>
      </c>
      <c r="X98" s="7">
        <f>IF(ISNUMBER($U98),$R98*$U98/Assumptions!$B$5,"")</f>
        <v/>
      </c>
      <c r="Y98" s="7">
        <f>IF(ISNUMBER($V98),$S98*$V98/Assumptions!$B$6,"")</f>
        <v/>
      </c>
      <c r="Z98" s="8">
        <f>$A98&amp;"|"&amp;IF(ISNUMBER($W98),TEXT($W98,"0.0000"),"x")&amp;"|"&amp;$L98</f>
        <v/>
      </c>
      <c r="AA98" s="8">
        <f>$A98&amp;"|"&amp;IF(ISNUMBER($Y98),TEXT($Y98,"0.0000"),"x")&amp;"|"&amp;$L98</f>
        <v/>
      </c>
    </row>
    <row r="99">
      <c r="A99" s="8" t="inlineStr">
        <is>
          <t>PSU</t>
        </is>
      </c>
      <c r="B99" s="8" t="inlineStr">
        <is>
          <t>Mouser Australia</t>
        </is>
      </c>
      <c r="C99" s="8" t="inlineStr">
        <is>
          <t>Raspberry Pi SC0523 (358-SC0523)</t>
        </is>
      </c>
      <c r="D99" s="12" t="n">
        <v>1</v>
      </c>
      <c r="E99" s="14" t="n">
        <v>11.6</v>
      </c>
      <c r="F99" s="12" t="n"/>
      <c r="G99" s="14" t="n"/>
      <c r="H99" s="12" t="n"/>
      <c r="I99" s="14" t="n"/>
      <c r="J99" s="12" t="inlineStr">
        <is>
          <t>N</t>
        </is>
      </c>
      <c r="K99" s="8" t="inlineStr">
        <is>
          <t>183</t>
        </is>
      </c>
      <c r="L99" s="12" t="inlineStr">
        <is>
          <t>Y</t>
        </is>
      </c>
      <c r="M99" s="8" t="inlineStr">
        <is>
          <t>2026-10-25</t>
        </is>
      </c>
      <c r="N99" s="15" t="inlineStr">
        <is>
          <t>https://au.mouser.com/c/?q=raspberry%20pi%2015W%20USB-C%20power%20supply%20AU</t>
        </is>
      </c>
      <c r="O99" s="8" t="inlineStr">
        <is>
          <t>Mouser page states no GST treatment; treated as ex GST. 15 W USB-C (5.1 V 3 A) AU plug, white. Black SC0219 247 stock $11.60. Only q1 shown.</t>
        </is>
      </c>
      <c r="P99" s="8">
        <f>IFERROR(VLOOKUP($A99,BOM!$A$2:$E$51,5,0),0)</f>
        <v/>
      </c>
      <c r="Q99" s="8">
        <f>CEILING($P99*Assumptions!$B$4/$D99,1)</f>
        <v/>
      </c>
      <c r="R99" s="8">
        <f>CEILING($P99*Assumptions!$B$5/$D99,1)</f>
        <v/>
      </c>
      <c r="S99" s="8">
        <f>CEILING($P99*Assumptions!$B$6/$D99,1)</f>
        <v/>
      </c>
      <c r="T99" s="7">
        <f>IF(ISNUMBER($E99),$E99*(1+IF($J99="Y",0,Assumptions!$B$3)),"")</f>
        <v/>
      </c>
      <c r="U99" s="7">
        <f>IF(ISNUMBER($E99),IF(AND(ISNUMBER($G99),ISNUMBER($F99)),IF($F99&lt;=$R99,$G99,$E99),$E99)*(1+IF($J99="Y",0,Assumptions!$B$3)),"")</f>
        <v/>
      </c>
      <c r="V99" s="7">
        <f>IF(ISNUMBER($E99),IF(AND(ISNUMBER($I99),ISNUMBER($H99)),IF($H99&lt;=$S99,$I99,IF(AND(ISNUMBER($G99),ISNUMBER($F99)),IF($F99&lt;=$S99,$G99,$E99),$E99)),IF(AND(ISNUMBER($G99),ISNUMBER($F99)),IF($F99&lt;=$S99,$G99,$E99),$E99))*(1+IF($J99="Y",0,Assumptions!$B$3)),"")</f>
        <v/>
      </c>
      <c r="W99" s="7">
        <f>IF(ISNUMBER($T99),$Q99*$T99/Assumptions!$B$4,"")</f>
        <v/>
      </c>
      <c r="X99" s="7">
        <f>IF(ISNUMBER($U99),$R99*$U99/Assumptions!$B$5,"")</f>
        <v/>
      </c>
      <c r="Y99" s="7">
        <f>IF(ISNUMBER($V99),$S99*$V99/Assumptions!$B$6,"")</f>
        <v/>
      </c>
      <c r="Z99" s="8">
        <f>$A99&amp;"|"&amp;IF(ISNUMBER($W99),TEXT($W99,"0.0000"),"x")&amp;"|"&amp;$L99</f>
        <v/>
      </c>
      <c r="AA99" s="8">
        <f>$A99&amp;"|"&amp;IF(ISNUMBER($Y99),TEXT($Y99,"0.0000"),"x")&amp;"|"&amp;$L99</f>
        <v/>
      </c>
    </row>
    <row r="100">
      <c r="A100" s="8" t="inlineStr">
        <is>
          <t>PG01</t>
        </is>
      </c>
      <c r="B100" s="8" t="inlineStr">
        <is>
          <t>Core Electronics</t>
        </is>
      </c>
      <c r="C100" s="8" t="inlineStr">
        <is>
          <t>CE05101</t>
        </is>
      </c>
      <c r="D100" s="12" t="n">
        <v>1</v>
      </c>
      <c r="E100" s="14" t="n">
        <v>5.95</v>
      </c>
      <c r="F100" s="12" t="n">
        <v>10</v>
      </c>
      <c r="G100" s="14" t="n">
        <v>5.36</v>
      </c>
      <c r="H100" s="12" t="n">
        <v>50</v>
      </c>
      <c r="I100" s="14" t="n">
        <v>5.06</v>
      </c>
      <c r="J100" s="12" t="inlineStr">
        <is>
          <t>N</t>
        </is>
      </c>
      <c r="K100" s="8" t="inlineStr">
        <is>
          <t>262 local</t>
        </is>
      </c>
      <c r="L100" s="12" t="inlineStr">
        <is>
          <t>Y</t>
        </is>
      </c>
      <c r="M100" s="8" t="inlineStr">
        <is>
          <t>2026-10-24</t>
        </is>
      </c>
      <c r="N100" s="15" t="inlineStr">
        <is>
          <t>https://core-electronics.com.au/nano-v3-0-board.html</t>
        </is>
      </c>
      <c r="O100" s="8" t="inlineStr">
        <is>
          <t>Nano V3.0 compatible, ATmega328, Mini-B USB, 5 V. $6.55 inc GST. Core Electronics: q1 and breaks recorded ex GST (page shows q1 inc GST as well).</t>
        </is>
      </c>
      <c r="P100" s="8">
        <f>IFERROR(VLOOKUP($A100,BOM!$A$2:$E$51,5,0),0)</f>
        <v/>
      </c>
      <c r="Q100" s="8">
        <f>CEILING($P100*Assumptions!$B$4/$D100,1)</f>
        <v/>
      </c>
      <c r="R100" s="8">
        <f>CEILING($P100*Assumptions!$B$5/$D100,1)</f>
        <v/>
      </c>
      <c r="S100" s="8">
        <f>CEILING($P100*Assumptions!$B$6/$D100,1)</f>
        <v/>
      </c>
      <c r="T100" s="7">
        <f>IF(ISNUMBER($E100),$E100*(1+IF($J100="Y",0,Assumptions!$B$3)),"")</f>
        <v/>
      </c>
      <c r="U100" s="7">
        <f>IF(ISNUMBER($E100),IF(AND(ISNUMBER($G100),ISNUMBER($F100)),IF($F100&lt;=$R100,$G100,$E100),$E100)*(1+IF($J100="Y",0,Assumptions!$B$3)),"")</f>
        <v/>
      </c>
      <c r="V100" s="7">
        <f>IF(ISNUMBER($E100),IF(AND(ISNUMBER($I100),ISNUMBER($H100)),IF($H100&lt;=$S100,$I100,IF(AND(ISNUMBER($G100),ISNUMBER($F100)),IF($F100&lt;=$S100,$G100,$E100),$E100)),IF(AND(ISNUMBER($G100),ISNUMBER($F100)),IF($F100&lt;=$S100,$G100,$E100),$E100))*(1+IF($J100="Y",0,Assumptions!$B$3)),"")</f>
        <v/>
      </c>
      <c r="W100" s="7">
        <f>IF(ISNUMBER($T100),$Q100*$T100/Assumptions!$B$4,"")</f>
        <v/>
      </c>
      <c r="X100" s="7">
        <f>IF(ISNUMBER($U100),$R100*$U100/Assumptions!$B$5,"")</f>
        <v/>
      </c>
      <c r="Y100" s="7">
        <f>IF(ISNUMBER($V100),$S100*$V100/Assumptions!$B$6,"")</f>
        <v/>
      </c>
      <c r="Z100" s="8">
        <f>$A100&amp;"|"&amp;IF(ISNUMBER($W100),TEXT($W100,"0.0000"),"x")&amp;"|"&amp;$L100</f>
        <v/>
      </c>
      <c r="AA100" s="8">
        <f>$A100&amp;"|"&amp;IF(ISNUMBER($Y100),TEXT($Y100,"0.0000"),"x")&amp;"|"&amp;$L100</f>
        <v/>
      </c>
    </row>
    <row r="101">
      <c r="A101" s="8" t="inlineStr">
        <is>
          <t>PG01</t>
        </is>
      </c>
      <c r="B101" s="8" t="inlineStr">
        <is>
          <t>Jaycar</t>
        </is>
      </c>
      <c r="C101" s="8" t="inlineStr">
        <is>
          <t>XC4414</t>
        </is>
      </c>
      <c r="D101" s="12" t="n">
        <v>1</v>
      </c>
      <c r="E101" s="14" t="n">
        <v>47.95</v>
      </c>
      <c r="F101" s="12" t="n">
        <v>6</v>
      </c>
      <c r="G101" s="14" t="n">
        <v>37.95</v>
      </c>
      <c r="H101" s="12" t="n"/>
      <c r="I101" s="14" t="n"/>
      <c r="J101" s="12" t="inlineStr">
        <is>
          <t>Y</t>
        </is>
      </c>
      <c r="K101" s="8" t="inlineStr">
        <is>
          <t>not shown (store select)</t>
        </is>
      </c>
      <c r="L101" s="12" t="inlineStr">
        <is>
          <t>Y</t>
        </is>
      </c>
      <c r="M101" s="8" t="inlineStr">
        <is>
          <t>2026-10-24</t>
        </is>
      </c>
      <c r="N101" s="15" t="inlineStr">
        <is>
          <t>https://jaycar.com.au/p/XC4414</t>
        </is>
      </c>
      <c r="O101" s="8" t="inlineStr">
        <is>
          <t>Duinotech Arduino-compatible Nano, ATmega328. Tiers 5 $42.95, 6+ $37.95. GST not stated (treated as incl.). Cheaper alt: Wiltronics ARD2-0005 CH340G $12.95 incl GST (10+ $11.10).</t>
        </is>
      </c>
      <c r="P101" s="8">
        <f>IFERROR(VLOOKUP($A101,BOM!$A$2:$E$51,5,0),0)</f>
        <v/>
      </c>
      <c r="Q101" s="8">
        <f>CEILING($P101*Assumptions!$B$4/$D101,1)</f>
        <v/>
      </c>
      <c r="R101" s="8">
        <f>CEILING($P101*Assumptions!$B$5/$D101,1)</f>
        <v/>
      </c>
      <c r="S101" s="8">
        <f>CEILING($P101*Assumptions!$B$6/$D101,1)</f>
        <v/>
      </c>
      <c r="T101" s="7">
        <f>IF(ISNUMBER($E101),$E101*(1+IF($J101="Y",0,Assumptions!$B$3)),"")</f>
        <v/>
      </c>
      <c r="U101" s="7">
        <f>IF(ISNUMBER($E101),IF(AND(ISNUMBER($G101),ISNUMBER($F101)),IF($F101&lt;=$R101,$G101,$E101),$E101)*(1+IF($J101="Y",0,Assumptions!$B$3)),"")</f>
        <v/>
      </c>
      <c r="V101" s="7">
        <f>IF(ISNUMBER($E101),IF(AND(ISNUMBER($I101),ISNUMBER($H101)),IF($H101&lt;=$S101,$I101,IF(AND(ISNUMBER($G101),ISNUMBER($F101)),IF($F101&lt;=$S101,$G101,$E101),$E101)),IF(AND(ISNUMBER($G101),ISNUMBER($F101)),IF($F101&lt;=$S101,$G101,$E101),$E101))*(1+IF($J101="Y",0,Assumptions!$B$3)),"")</f>
        <v/>
      </c>
      <c r="W101" s="7">
        <f>IF(ISNUMBER($T101),$Q101*$T101/Assumptions!$B$4,"")</f>
        <v/>
      </c>
      <c r="X101" s="7">
        <f>IF(ISNUMBER($U101),$R101*$U101/Assumptions!$B$5,"")</f>
        <v/>
      </c>
      <c r="Y101" s="7">
        <f>IF(ISNUMBER($V101),$S101*$V101/Assumptions!$B$6,"")</f>
        <v/>
      </c>
      <c r="Z101" s="8">
        <f>$A101&amp;"|"&amp;IF(ISNUMBER($W101),TEXT($W101,"0.0000"),"x")&amp;"|"&amp;$L101</f>
        <v/>
      </c>
      <c r="AA101" s="8">
        <f>$A101&amp;"|"&amp;IF(ISNUMBER($Y101),TEXT($Y101,"0.0000"),"x")&amp;"|"&amp;$L101</f>
        <v/>
      </c>
    </row>
    <row r="102">
      <c r="A102" s="8" t="inlineStr">
        <is>
          <t>PG02</t>
        </is>
      </c>
      <c r="B102" s="8" t="inlineStr">
        <is>
          <t>Core Electronics</t>
        </is>
      </c>
      <c r="C102" s="8" t="inlineStr">
        <is>
          <t>SN74HC595N (SparkFun COM-13699, DIP-16)</t>
        </is>
      </c>
      <c r="D102" s="12" t="n">
        <v>1</v>
      </c>
      <c r="E102" s="14" t="n">
        <v>1.8</v>
      </c>
      <c r="F102" s="12" t="n"/>
      <c r="G102" s="14" t="n"/>
      <c r="H102" s="12" t="n"/>
      <c r="I102" s="14" t="n"/>
      <c r="J102" s="12" t="inlineStr">
        <is>
          <t>Y</t>
        </is>
      </c>
      <c r="K102" s="8" t="inlineStr">
        <is>
          <t>2 from local stock plus supplier stock</t>
        </is>
      </c>
      <c r="L102" s="12" t="inlineStr">
        <is>
          <t>Y</t>
        </is>
      </c>
      <c r="M102" s="8" t="inlineStr">
        <is>
          <t>2026-10-24</t>
        </is>
      </c>
      <c r="N102" s="15" t="inlineStr">
        <is>
          <t>https://core-electronics.com.au/shift-register-8-bit-sn74hc595.html</t>
        </is>
      </c>
      <c r="O102" s="8" t="inlineStr">
        <is>
          <t>Core prices GST inclusive (site FAQ). No qty breaks shown. Only 2 held locally.</t>
        </is>
      </c>
      <c r="P102" s="8">
        <f>IFERROR(VLOOKUP($A102,BOM!$A$2:$E$51,5,0),0)</f>
        <v/>
      </c>
      <c r="Q102" s="8">
        <f>CEILING($P102*Assumptions!$B$4/$D102,1)</f>
        <v/>
      </c>
      <c r="R102" s="8">
        <f>CEILING($P102*Assumptions!$B$5/$D102,1)</f>
        <v/>
      </c>
      <c r="S102" s="8">
        <f>CEILING($P102*Assumptions!$B$6/$D102,1)</f>
        <v/>
      </c>
      <c r="T102" s="7">
        <f>IF(ISNUMBER($E102),$E102*(1+IF($J102="Y",0,Assumptions!$B$3)),"")</f>
        <v/>
      </c>
      <c r="U102" s="7">
        <f>IF(ISNUMBER($E102),IF(AND(ISNUMBER($G102),ISNUMBER($F102)),IF($F102&lt;=$R102,$G102,$E102),$E102)*(1+IF($J102="Y",0,Assumptions!$B$3)),"")</f>
        <v/>
      </c>
      <c r="V102" s="7">
        <f>IF(ISNUMBER($E102),IF(AND(ISNUMBER($I102),ISNUMBER($H102)),IF($H102&lt;=$S102,$I102,IF(AND(ISNUMBER($G102),ISNUMBER($F102)),IF($F102&lt;=$S102,$G102,$E102),$E102)),IF(AND(ISNUMBER($G102),ISNUMBER($F102)),IF($F102&lt;=$S102,$G102,$E102),$E102))*(1+IF($J102="Y",0,Assumptions!$B$3)),"")</f>
        <v/>
      </c>
      <c r="W102" s="7">
        <f>IF(ISNUMBER($T102),$Q102*$T102/Assumptions!$B$4,"")</f>
        <v/>
      </c>
      <c r="X102" s="7">
        <f>IF(ISNUMBER($U102),$R102*$U102/Assumptions!$B$5,"")</f>
        <v/>
      </c>
      <c r="Y102" s="7">
        <f>IF(ISNUMBER($V102),$S102*$V102/Assumptions!$B$6,"")</f>
        <v/>
      </c>
      <c r="Z102" s="8">
        <f>$A102&amp;"|"&amp;IF(ISNUMBER($W102),TEXT($W102,"0.0000"),"x")&amp;"|"&amp;$L102</f>
        <v/>
      </c>
      <c r="AA102" s="8">
        <f>$A102&amp;"|"&amp;IF(ISNUMBER($Y102),TEXT($Y102,"0.0000"),"x")&amp;"|"&amp;$L102</f>
        <v/>
      </c>
    </row>
    <row r="103">
      <c r="A103" s="8" t="inlineStr">
        <is>
          <t>PG02</t>
        </is>
      </c>
      <c r="B103" s="8" t="inlineStr">
        <is>
          <t>Mouser Australia</t>
        </is>
      </c>
      <c r="C103" s="8" t="inlineStr">
        <is>
          <t>SN74HC595N (TI, PDIP-16)</t>
        </is>
      </c>
      <c r="D103" s="12" t="n">
        <v>1</v>
      </c>
      <c r="E103" s="14" t="n">
        <v>2.84</v>
      </c>
      <c r="F103" s="12" t="n">
        <v>10</v>
      </c>
      <c r="G103" s="14" t="n">
        <v>2.09</v>
      </c>
      <c r="H103" s="12" t="n">
        <v>100</v>
      </c>
      <c r="I103" s="14" t="n">
        <v>1.68</v>
      </c>
      <c r="J103" s="12" t="inlineStr">
        <is>
          <t>N</t>
        </is>
      </c>
      <c r="K103" s="8" t="inlineStr">
        <is>
          <t>8,414 in stock</t>
        </is>
      </c>
      <c r="L103" s="12" t="inlineStr">
        <is>
          <t>Y</t>
        </is>
      </c>
      <c r="M103" s="8" t="inlineStr">
        <is>
          <t>2026-10-24</t>
        </is>
      </c>
      <c r="N103" s="15" t="inlineStr">
        <is>
          <t>https://au.mouser.com/en/ProductDetail/Texas-Instruments/SN74HC595N?qs=IEl3ej0IqwBTHkYa8XPoMQ%3D%3D</t>
        </is>
      </c>
      <c r="O103" s="8" t="inlineStr">
        <is>
          <t>Mouser AU price in AUD; page states no GST treatment (only 'prices include duty and customs fees', DDP). Treated as ex-GST (GST added at checkout) - confirm at checkout.</t>
        </is>
      </c>
      <c r="P103" s="8">
        <f>IFERROR(VLOOKUP($A103,BOM!$A$2:$E$51,5,0),0)</f>
        <v/>
      </c>
      <c r="Q103" s="8">
        <f>CEILING($P103*Assumptions!$B$4/$D103,1)</f>
        <v/>
      </c>
      <c r="R103" s="8">
        <f>CEILING($P103*Assumptions!$B$5/$D103,1)</f>
        <v/>
      </c>
      <c r="S103" s="8">
        <f>CEILING($P103*Assumptions!$B$6/$D103,1)</f>
        <v/>
      </c>
      <c r="T103" s="7">
        <f>IF(ISNUMBER($E103),$E103*(1+IF($J103="Y",0,Assumptions!$B$3)),"")</f>
        <v/>
      </c>
      <c r="U103" s="7">
        <f>IF(ISNUMBER($E103),IF(AND(ISNUMBER($G103),ISNUMBER($F103)),IF($F103&lt;=$R103,$G103,$E103),$E103)*(1+IF($J103="Y",0,Assumptions!$B$3)),"")</f>
        <v/>
      </c>
      <c r="V103" s="7">
        <f>IF(ISNUMBER($E103),IF(AND(ISNUMBER($I103),ISNUMBER($H103)),IF($H103&lt;=$S103,$I103,IF(AND(ISNUMBER($G103),ISNUMBER($F103)),IF($F103&lt;=$S103,$G103,$E103),$E103)),IF(AND(ISNUMBER($G103),ISNUMBER($F103)),IF($F103&lt;=$S103,$G103,$E103),$E103))*(1+IF($J103="Y",0,Assumptions!$B$3)),"")</f>
        <v/>
      </c>
      <c r="W103" s="7">
        <f>IF(ISNUMBER($T103),$Q103*$T103/Assumptions!$B$4,"")</f>
        <v/>
      </c>
      <c r="X103" s="7">
        <f>IF(ISNUMBER($U103),$R103*$U103/Assumptions!$B$5,"")</f>
        <v/>
      </c>
      <c r="Y103" s="7">
        <f>IF(ISNUMBER($V103),$S103*$V103/Assumptions!$B$6,"")</f>
        <v/>
      </c>
      <c r="Z103" s="8">
        <f>$A103&amp;"|"&amp;IF(ISNUMBER($W103),TEXT($W103,"0.0000"),"x")&amp;"|"&amp;$L103</f>
        <v/>
      </c>
      <c r="AA103" s="8">
        <f>$A103&amp;"|"&amp;IF(ISNUMBER($Y103),TEXT($Y103,"0.0000"),"x")&amp;"|"&amp;$L103</f>
        <v/>
      </c>
    </row>
  </sheetData>
  <autoFilter ref="A1:AA103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  <hyperlink xmlns:r="http://schemas.openxmlformats.org/officeDocument/2006/relationships" ref="N91" r:id="rId90"/>
    <hyperlink xmlns:r="http://schemas.openxmlformats.org/officeDocument/2006/relationships" ref="N92" r:id="rId91"/>
    <hyperlink xmlns:r="http://schemas.openxmlformats.org/officeDocument/2006/relationships" ref="N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70" customWidth="1" min="3" max="3"/>
  </cols>
  <sheetData>
    <row r="1">
      <c r="A1" s="3" t="inlineStr">
        <is>
          <t>Item</t>
        </is>
      </c>
      <c r="B1" s="3" t="inlineStr">
        <is>
          <t>Risk</t>
        </is>
      </c>
      <c r="C1" s="3" t="inlineStr">
        <is>
          <t>Action</t>
        </is>
      </c>
    </row>
    <row r="2">
      <c r="A2" s="20" t="inlineStr">
        <is>
          <t>74HCT throughout</t>
        </is>
      </c>
      <c r="B2" s="20" t="inlineStr">
        <is>
          <t>PC-2 uses 74HCT logic: its inputs read the EEPROM, RAM and 555 outputs correctly (74HC needs 3.15 V, which those outputs do not guarantee).</t>
        </is>
      </c>
      <c r="C2" s="20" t="inlineStr">
        <is>
          <t>Buy 74HCT. 74HC283 is acceptable in the two adder sockets only.</t>
        </is>
      </c>
    </row>
    <row r="3">
      <c r="A3" s="20" t="inlineStr">
        <is>
          <t>Mouser-only parts</t>
        </is>
      </c>
      <c r="B3" s="20" t="inlineStr">
        <is>
          <t>74HCT86, 74HCT107, 74HCT139, 74HCT161, 74HCT174, 74HCT283 and 74HCT377 were found in DIP only at Mouser.</t>
        </is>
      </c>
      <c r="C3" s="20" t="inlineStr">
        <is>
          <t>Order these early; check DigiKey and Altronics by hand (both blocked automated checks).</t>
        </is>
      </c>
    </row>
    <row r="4">
      <c r="A4" s="20" t="inlineStr">
        <is>
          <t>74HCT107 end of life</t>
        </is>
      </c>
      <c r="B4" s="20" t="inlineStr">
        <is>
          <t>Marked end of life by the maker.</t>
        </is>
      </c>
      <c r="C4" s="20" t="inlineStr">
        <is>
          <t>Buy enough for planned kits now; the display counter could also use a 74HCT74 with a redesign.</t>
        </is>
      </c>
    </row>
    <row r="5">
      <c r="A5" s="20" t="inlineStr">
        <is>
          <t>Stock for 100 kits</t>
        </is>
      </c>
      <c r="B5" s="20" t="inlineStr">
        <is>
          <t>74HCT157 (Mouser 233 vs 200 needed), 74HCT245 (900 needed), blue LEDs and wire sets were short at single shops.</t>
        </is>
      </c>
      <c r="C5" s="20" t="inlineStr">
        <is>
          <t>Split orders across suppliers; re-check stock before a batch.</t>
        </is>
      </c>
    </row>
    <row r="6">
      <c r="A6" s="20" t="inlineStr">
        <is>
          <t>Jaycar 74HC lines</t>
        </is>
      </c>
      <c r="B6" s="20" t="inlineStr">
        <is>
          <t>Several are marked Clearance, so Jaycar may stop stocking them.</t>
        </is>
      </c>
      <c r="C6" s="20" t="inlineStr">
        <is>
          <t>Treat Jaycar as a backup, not the main source.</t>
        </is>
      </c>
    </row>
    <row r="7">
      <c r="A7" s="20" t="inlineStr">
        <is>
          <t>GST</t>
        </is>
      </c>
      <c r="B7" s="20" t="inlineStr">
        <is>
          <t>Mouser and Jaycar pages do not state GST; assumptions are on the Assumptions sheet.</t>
        </is>
      </c>
      <c r="C7" s="20" t="inlineStr">
        <is>
          <t>Confirm at checkout on the prototype order.</t>
        </is>
      </c>
    </row>
    <row r="8">
      <c r="A8" s="20" t="inlineStr">
        <is>
          <t>Core Electronics 1 kΩ resistor pack</t>
        </is>
      </c>
      <c r="B8" s="20" t="inlineStr">
        <is>
          <t>Out of stock on the day.</t>
        </is>
      </c>
      <c r="C8" s="20" t="inlineStr">
        <is>
          <t>element14 single resistors are cheaper anyway.</t>
        </is>
      </c>
    </row>
    <row r="9">
      <c r="A9" s="20" t="inlineStr">
        <is>
          <t>Wire</t>
        </is>
      </c>
      <c r="B9" s="20" t="inlineStr">
        <is>
          <t>The Altronics wire is 24 AWG and is excluded from costing. Three SparkFun boxes hold 22.9 m of each colour; PC-2 needs about 21.5 m of yellow (bus) and 42 m of green and white together.</t>
        </is>
      </c>
      <c r="C9" s="20" t="inlineStr">
        <is>
          <t>Cut the yellow and green/white wires from the cutting list first; use spare blue, red or black if a colour runs short.</t>
        </is>
      </c>
    </row>
    <row r="10">
      <c r="A10" s="20" t="inlineStr">
        <is>
          <t>Power entry</t>
        </is>
      </c>
      <c r="B10" s="20" t="inlineStr">
        <is>
          <t>The kit no longer uses the Jaycar XC5418 module (rated 500 mA; PC-2 can draw 0.5-0.55 A). The Adafruit 4090 breakout was out of stock locally at Core on the day (supplier lead time).</t>
        </is>
      </c>
      <c r="C10" s="20" t="inlineStr">
        <is>
          <t>Order the breakout early, or use any USB-C breakout with 5.1 kOhm CC resistors and a 0.1 in header.</t>
        </is>
      </c>
    </row>
    <row r="11">
      <c r="A11" s="20" t="inlineStr">
        <is>
          <t>Stock depth at tier 3</t>
        </is>
      </c>
      <c r="B11" s="20" t="inlineStr">
        <is>
          <t>Some cheapest picks cannot cover 100 kits from stock on the day: Core holds 2 of the 74HC595 and 5 of the 6 mm tactile 20-pack locally, and Jaycar clearance lines (74HC138, 74HC139, 74HC157) may sell out.</t>
        </is>
      </c>
      <c r="C11" s="20" t="inlineStr">
        <is>
          <t>Before a 100-kit order, re-run the pricing against stock and switch those lines to Mouser or element14.</t>
        </is>
      </c>
    </row>
    <row r="12">
      <c r="A12" s="20" t="inlineStr">
        <is>
          <t>EEPROMs</t>
        </is>
      </c>
      <c r="B12" s="20" t="inlineStr">
        <is>
          <t>Four AT28C256 EEPROMs are about a fifth of the tier 1 kit cost.</t>
        </is>
      </c>
      <c r="C12" s="20" t="inlineStr">
        <is>
          <t>Keep; they are in stock at two suppliers. Price them again at order time.</t>
        </is>
      </c>
    </row>
    <row r="13">
      <c r="A13" s="20" t="inlineStr">
        <is>
          <t>Freight</t>
        </is>
      </c>
      <c r="B13" s="20" t="inlineStr">
        <is>
          <t>Not included. Several suppliers ship free over a threshold; Mouser and element14 often from overseas warehouses.</t>
        </is>
      </c>
      <c r="C13" s="20" t="inlineStr">
        <is>
          <t>Add freight per order when placing the prototype order.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2026-10-24T17:39:46Z</dcterms:created>
  <dcterms:modified xmlns:dcterms="http://purl.org/dc/terms/" xmlns:xsi="http://www.w3.org/2001/XMLSchema-instance" xsi:type="dcterms:W3CDTF">2026-10-24T17:39:46Z</dcterms:modified>
</cp:coreProperties>
</file>