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Assumptions" sheetId="2" state="visible" r:id="rId4"/>
    <sheet name="BOM" sheetId="3" state="visible" r:id="rId5"/>
    <sheet name="Prices" sheetId="4" state="visible" r:id="rId6"/>
    <sheet name="Risks" sheetId="5" state="visible" r:id="rId7"/>
  </sheets>
  <definedNames>
    <definedName function="false" hidden="true" localSheetId="2" name="_xlnm._FilterDatabase" vbProcedure="false">BOM!$A$1:$M$54</definedName>
    <definedName function="false" hidden="true" localSheetId="3" name="_xlnm._FilterDatabase" vbProcedure="false">Prices!$A$1:$AA$106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<sst xmlns="http://schemas.openxmlformats.org/spreadsheetml/2006/main" count="1343" uniqueCount="701">
  <si>
    <t xml:space="preserve">PC-2 breadboard kit: parts cost</t>
  </si>
  <si>
    <t xml:space="preserve">AUD including GST, cheapest suitable source per line, prices checked 2026-10-24. Freight, PCBs and packaging not included.</t>
  </si>
  <si>
    <t xml:space="preserve">Tier 1</t>
  </si>
  <si>
    <t xml:space="preserve">Tier 2</t>
  </si>
  <si>
    <t xml:space="preserve">Tier 3</t>
  </si>
  <si>
    <t xml:space="preserve">Kits bought</t>
  </si>
  <si>
    <t xml:space="preserve">Parts cost per kit</t>
  </si>
  <si>
    <t xml:space="preserve">Parts cost for the whole order</t>
  </si>
  <si>
    <t xml:space="preserve">Lines with one suitable source</t>
  </si>
  <si>
    <t xml:space="preserve">Lines with no price</t>
  </si>
  <si>
    <t xml:space="preserve">Cost by group (per kit)</t>
  </si>
  <si>
    <t xml:space="preserve">Group</t>
  </si>
  <si>
    <t xml:space="preserve">Logic (74HCT)</t>
  </si>
  <si>
    <t xml:space="preserve">Timer</t>
  </si>
  <si>
    <t xml:space="preserve">Memory</t>
  </si>
  <si>
    <t xml:space="preserve">Semiconductors</t>
  </si>
  <si>
    <t xml:space="preserve">Display</t>
  </si>
  <si>
    <t xml:space="preserve">Indicators</t>
  </si>
  <si>
    <t xml:space="preserve">Resistors</t>
  </si>
  <si>
    <t xml:space="preserve">Capacitors</t>
  </si>
  <si>
    <t xml:space="preserve">Controls</t>
  </si>
  <si>
    <t xml:space="preserve">Switches</t>
  </si>
  <si>
    <t xml:space="preserve">Build</t>
  </si>
  <si>
    <t xml:space="preserve">Power</t>
  </si>
  <si>
    <t xml:space="preserve">Programmer</t>
  </si>
  <si>
    <t xml:space="preserve">PC-2 kit costed BOM: assumptions</t>
  </si>
  <si>
    <t xml:space="preserve">GST rate</t>
  </si>
  <si>
    <t xml:space="preserve">Australian GST. Added to every price recorded as ex-GST.</t>
  </si>
  <si>
    <t xml:space="preserve">Kits in tier 1</t>
  </si>
  <si>
    <t xml:space="preserve">Buying for one kit (the prototype).</t>
  </si>
  <si>
    <t xml:space="preserve">Kits in tier 2</t>
  </si>
  <si>
    <t xml:space="preserve">A small first batch.</t>
  </si>
  <si>
    <t xml:space="preserve">Kits in tier 3</t>
  </si>
  <si>
    <t xml:space="preserve">A production batch.</t>
  </si>
  <si>
    <t xml:space="preserve">Prices checked</t>
  </si>
  <si>
    <t xml:space="preserve">2026-10-24</t>
  </si>
  <si>
    <t xml:space="preserve">Every price was read from the supplier's product page on this date.</t>
  </si>
  <si>
    <t xml:space="preserve">How costs are worked out</t>
  </si>
  <si>
    <t xml:space="preserve">1. Each line's quantity per kit is multiplied by the kits in the tier, then rounded up to whole packs.</t>
  </si>
  <si>
    <t xml:space="preserve">2. A supplier's quantity-break price is used only when the packs bought reach that break; otherwise the next lower price applies.</t>
  </si>
  <si>
    <t xml:space="preserve">3. All prices are converted to AUD including GST.</t>
  </si>
  <si>
    <t xml:space="preserve">4. For each line, the cheapest suitable source at each tier is chosen. Freight is not included.</t>
  </si>
  <si>
    <t xml:space="preserve">GST assumptions to confirm</t>
  </si>
  <si>
    <t xml:space="preserve">- Mouser Australia pages state no GST treatment; their prices are assumed ex-GST.</t>
  </si>
  <si>
    <t xml:space="preserve">- Jaycar pages state no GST treatment; their prices are assumed GST-inclusive (retail).</t>
  </si>
  <si>
    <t xml:space="preserve">- element14 and DigiKey list ex-GST prices; Core Electronics prices are recorded as each record's incl_gst flag says.</t>
  </si>
  <si>
    <t xml:space="preserve">Not included</t>
  </si>
  <si>
    <t xml:space="preserve">- PCBs, IC sockets, packaging, printed book, freight, merchant fees and labour.</t>
  </si>
  <si>
    <t xml:space="preserve">Editing</t>
  </si>
  <si>
    <t xml:space="preserve">- Yellow cells with blue text are inputs. Change them and every cost updates.</t>
  </si>
  <si>
    <t xml:space="preserve">- On the Prices sheet, set Suitable to N to drop a source from costing.</t>
  </si>
  <si>
    <t xml:space="preserve">ID</t>
  </si>
  <si>
    <t xml:space="preserve">Part</t>
  </si>
  <si>
    <t xml:space="preserve">Description</t>
  </si>
  <si>
    <t xml:space="preserve">Qty per kit</t>
  </si>
  <si>
    <t xml:space="preserve">Used in</t>
  </si>
  <si>
    <t xml:space="preserve">Suitable sources</t>
  </si>
  <si>
    <t xml:space="preserve">Cost per kit @T1</t>
  </si>
  <si>
    <t xml:space="preserve">Cost per kit @T2</t>
  </si>
  <si>
    <t xml:space="preserve">Cost per kit @T3</t>
  </si>
  <si>
    <t xml:space="preserve">Cheapest @T1</t>
  </si>
  <si>
    <t xml:space="preserve">Cheapest @T3</t>
  </si>
  <si>
    <t xml:space="preserve">Flag</t>
  </si>
  <si>
    <t xml:space="preserve">H00</t>
  </si>
  <si>
    <t xml:space="preserve">74HCT00</t>
  </si>
  <si>
    <t xml:space="preserve">Quad NAND, DIP-14</t>
  </si>
  <si>
    <t xml:space="preserve">see netlist</t>
  </si>
  <si>
    <t xml:space="preserve">H02</t>
  </si>
  <si>
    <t xml:space="preserve">74HCT02</t>
  </si>
  <si>
    <t xml:space="preserve">Quad NOR, DIP-14</t>
  </si>
  <si>
    <t xml:space="preserve">H04</t>
  </si>
  <si>
    <t xml:space="preserve">74HCT04</t>
  </si>
  <si>
    <t xml:space="preserve">Hex inverter, DIP-14</t>
  </si>
  <si>
    <t xml:space="preserve">H08</t>
  </si>
  <si>
    <t xml:space="preserve">74HCT08</t>
  </si>
  <si>
    <t xml:space="preserve">Quad AND, DIP-14</t>
  </si>
  <si>
    <t xml:space="preserve">H32</t>
  </si>
  <si>
    <t xml:space="preserve">74HCT32</t>
  </si>
  <si>
    <t xml:space="preserve">Quad OR, DIP-14</t>
  </si>
  <si>
    <t xml:space="preserve">H86</t>
  </si>
  <si>
    <t xml:space="preserve">74HCT86</t>
  </si>
  <si>
    <t xml:space="preserve">Quad XOR, DIP-14</t>
  </si>
  <si>
    <t xml:space="preserve">H107</t>
  </si>
  <si>
    <t xml:space="preserve">74HCT107 (CD74HCT107E)</t>
  </si>
  <si>
    <t xml:space="preserve">Dual JK flip-flop, DIP-14</t>
  </si>
  <si>
    <t xml:space="preserve">H138</t>
  </si>
  <si>
    <t xml:space="preserve">74HCT138</t>
  </si>
  <si>
    <t xml:space="preserve">3-to-8 decoder, DIP-16</t>
  </si>
  <si>
    <t xml:space="preserve">H139</t>
  </si>
  <si>
    <t xml:space="preserve">74HCT139</t>
  </si>
  <si>
    <t xml:space="preserve">Dual 2-to-4 decoder, DIP-16</t>
  </si>
  <si>
    <t xml:space="preserve">H157</t>
  </si>
  <si>
    <t xml:space="preserve">74HCT157</t>
  </si>
  <si>
    <t xml:space="preserve">Quad 2-to-1 mux, DIP-16</t>
  </si>
  <si>
    <t xml:space="preserve">H161</t>
  </si>
  <si>
    <t xml:space="preserve">74HCT161</t>
  </si>
  <si>
    <t xml:space="preserve">4-bit counter, DIP-16</t>
  </si>
  <si>
    <t xml:space="preserve">H173</t>
  </si>
  <si>
    <t xml:space="preserve">74HCT173 (CD74HCT173E)</t>
  </si>
  <si>
    <t xml:space="preserve">4-bit register tri-state, DIP-16</t>
  </si>
  <si>
    <t xml:space="preserve">H174</t>
  </si>
  <si>
    <t xml:space="preserve">74HCT174</t>
  </si>
  <si>
    <t xml:space="preserve">Hex D flip-flop, DIP-16</t>
  </si>
  <si>
    <t xml:space="preserve">H245</t>
  </si>
  <si>
    <t xml:space="preserve">74HCT245</t>
  </si>
  <si>
    <t xml:space="preserve">Octal transceiver, DIP-20</t>
  </si>
  <si>
    <t xml:space="preserve">H283</t>
  </si>
  <si>
    <t xml:space="preserve">74HCT283 or 74HC283</t>
  </si>
  <si>
    <t xml:space="preserve">4-bit adder, DIP-16 (HC is acceptable in this socket)</t>
  </si>
  <si>
    <t xml:space="preserve">H377</t>
  </si>
  <si>
    <t xml:space="preserve">74HCT377</t>
  </si>
  <si>
    <t xml:space="preserve">Octal D flip-flop with enable, DIP-20</t>
  </si>
  <si>
    <t xml:space="preserve">IC16</t>
  </si>
  <si>
    <t xml:space="preserve">NE555P</t>
  </si>
  <si>
    <t xml:space="preserve">555 timer, DIP-8</t>
  </si>
  <si>
    <t xml:space="preserve">Clock (3), Display driver (1)</t>
  </si>
  <si>
    <t xml:space="preserve">IC17</t>
  </si>
  <si>
    <t xml:space="preserve">AS6C62256-55PCN</t>
  </si>
  <si>
    <t xml:space="preserve">32K × 8 static RAM, DIP-28 (0.6 in wide)</t>
  </si>
  <si>
    <t xml:space="preserve">RAM</t>
  </si>
  <si>
    <t xml:space="preserve">IC18</t>
  </si>
  <si>
    <t xml:space="preserve">AT28C256-15PU</t>
  </si>
  <si>
    <t xml:space="preserve">32K × 8 parallel EEPROM, DIP-28 (0.6 in wide)</t>
  </si>
  <si>
    <t xml:space="preserve">Control ROMs (3), Output (1)</t>
  </si>
  <si>
    <t xml:space="preserve">Q01</t>
  </si>
  <si>
    <t xml:space="preserve">2N3906</t>
  </si>
  <si>
    <t xml:space="preserve">PNP transistor, TO-92</t>
  </si>
  <si>
    <t xml:space="preserve">Display driver</t>
  </si>
  <si>
    <t xml:space="preserve">DS2</t>
  </si>
  <si>
    <t xml:space="preserve">7-segment 0.56 in common anode, red</t>
  </si>
  <si>
    <t xml:space="preserve">single digit</t>
  </si>
  <si>
    <t xml:space="preserve">LED1</t>
  </si>
  <si>
    <t xml:space="preserve">3 mm LED, red</t>
  </si>
  <si>
    <t xml:space="preserve">48 used + spares</t>
  </si>
  <si>
    <t xml:space="preserve">Bus, A, B, ALU, RAM, Output</t>
  </si>
  <si>
    <t xml:space="preserve">LED2</t>
  </si>
  <si>
    <t xml:space="preserve">3 mm LED, green</t>
  </si>
  <si>
    <t xml:space="preserve">30 used + spares</t>
  </si>
  <si>
    <t xml:space="preserve">Control, PC</t>
  </si>
  <si>
    <t xml:space="preserve">LED3</t>
  </si>
  <si>
    <t xml:space="preserve">3 mm LED, yellow</t>
  </si>
  <si>
    <t xml:space="preserve">8 used + spares</t>
  </si>
  <si>
    <t xml:space="preserve">Clock, Flags, MAR, Front panel</t>
  </si>
  <si>
    <t xml:space="preserve">LEDB</t>
  </si>
  <si>
    <t xml:space="preserve">3 mm LED, blue</t>
  </si>
  <si>
    <t xml:space="preserve">Instruction register</t>
  </si>
  <si>
    <t xml:space="preserve">R01</t>
  </si>
  <si>
    <t xml:space="preserve">Resistor 1 kΩ 1/4 W</t>
  </si>
  <si>
    <t xml:space="preserve">72 used + spares</t>
  </si>
  <si>
    <t xml:space="preserve">LEDs, Front panel (RST pull-down)</t>
  </si>
  <si>
    <t xml:space="preserve">R2k2</t>
  </si>
  <si>
    <t xml:space="preserve">Resistor 2.2 kΩ 1/4 W</t>
  </si>
  <si>
    <t xml:space="preserve">Control LEDs, RAM LEDs, PNP bases</t>
  </si>
  <si>
    <t xml:space="preserve">R02</t>
  </si>
  <si>
    <t xml:space="preserve">Resistor 10 kΩ 1/4 W</t>
  </si>
  <si>
    <t xml:space="preserve">7 used + spares (incl. PROG pull-down and programmer WE pull-up)</t>
  </si>
  <si>
    <t xml:space="preserve">Front panel, Display driver, programmer</t>
  </si>
  <si>
    <t xml:space="preserve">R100k</t>
  </si>
  <si>
    <t xml:space="preserve">Resistor 100 kΩ 1/4 W</t>
  </si>
  <si>
    <t xml:space="preserve">Clock</t>
  </si>
  <si>
    <t xml:space="preserve">R470</t>
  </si>
  <si>
    <t xml:space="preserve">Resistor 470 Ω 1/4 W</t>
  </si>
  <si>
    <t xml:space="preserve">RN8</t>
  </si>
  <si>
    <t xml:space="preserve">Resistor network SIP-9 bussed 8 × 10 kΩ</t>
  </si>
  <si>
    <t xml:space="preserve">Bus, Front panel</t>
  </si>
  <si>
    <t xml:space="preserve">RN4</t>
  </si>
  <si>
    <t xml:space="preserve">Resistor network SIP-5 bussed 4 × 10 kΩ</t>
  </si>
  <si>
    <t xml:space="preserve">Front panel</t>
  </si>
  <si>
    <t xml:space="preserve">C01</t>
  </si>
  <si>
    <t xml:space="preserve">Capacitor 100 nF ceramic</t>
  </si>
  <si>
    <t xml:space="preserve">48 decoupling + 2 timing + 3 programmer + spares</t>
  </si>
  <si>
    <t xml:space="preserve">All boards</t>
  </si>
  <si>
    <t xml:space="preserve">C10n</t>
  </si>
  <si>
    <t xml:space="preserve">Capacitor 10 nF ceramic</t>
  </si>
  <si>
    <t xml:space="preserve">555 control pins (4), RESET line filter (1)</t>
  </si>
  <si>
    <t xml:space="preserve">Clock, Display driver, Front panel</t>
  </si>
  <si>
    <t xml:space="preserve">C02</t>
  </si>
  <si>
    <t xml:space="preserve">Capacitor 1 µF electrolytic</t>
  </si>
  <si>
    <t xml:space="preserve">C10u</t>
  </si>
  <si>
    <t xml:space="preserve">Capacitor 10 µF electrolytic, 16 V or more</t>
  </si>
  <si>
    <t xml:space="preserve">bulk supply capacitor, one per board</t>
  </si>
  <si>
    <t xml:space="preserve">every board except Bus</t>
  </si>
  <si>
    <t xml:space="preserve">C100u</t>
  </si>
  <si>
    <t xml:space="preserve">Capacitor 100 µF electrolytic, 16 V or more</t>
  </si>
  <si>
    <t xml:space="preserve">bulk capacitor at the power entry</t>
  </si>
  <si>
    <t xml:space="preserve">Bus</t>
  </si>
  <si>
    <t xml:space="preserve">VR1</t>
  </si>
  <si>
    <t xml:space="preserve">Potentiometer 1 MΩ linear</t>
  </si>
  <si>
    <t xml:space="preserve">clock speed</t>
  </si>
  <si>
    <t xml:space="preserve">JP3</t>
  </si>
  <si>
    <t xml:space="preserve">3-pin header + jumper shunt</t>
  </si>
  <si>
    <t xml:space="preserve">clock range</t>
  </si>
  <si>
    <t xml:space="preserve">SW1</t>
  </si>
  <si>
    <t xml:space="preserve">Tactile push button 6 mm</t>
  </si>
  <si>
    <t xml:space="preserve">STEP, RESET, WRITE</t>
  </si>
  <si>
    <t xml:space="preserve">SW2</t>
  </si>
  <si>
    <t xml:space="preserve">Slide switch SPDT, 0.1 in pitch</t>
  </si>
  <si>
    <t xml:space="preserve">RUN/STEP, PROGRAM/RUN; PROGRAM/RUN is wired as on/off to +5 V with a 10 kΩ pull-down, so a shorting (make-before-break) switch is safe too</t>
  </si>
  <si>
    <t xml:space="preserve">SW3</t>
  </si>
  <si>
    <t xml:space="preserve">DIP switch 8-position</t>
  </si>
  <si>
    <t xml:space="preserve">data, input A, input B</t>
  </si>
  <si>
    <t xml:space="preserve">SW4</t>
  </si>
  <si>
    <t xml:space="preserve">DIP switch 4-position</t>
  </si>
  <si>
    <t xml:space="preserve">address</t>
  </si>
  <si>
    <t xml:space="preserve">BB01</t>
  </si>
  <si>
    <t xml:space="preserve">Solderless breadboard 830 tie-point</t>
  </si>
  <si>
    <t xml:space="preserve">17 for PC-2 + 1 programmer</t>
  </si>
  <si>
    <t xml:space="preserve">All</t>
  </si>
  <si>
    <t xml:space="preserve">W01</t>
  </si>
  <si>
    <t xml:space="preserve">22 AWG solid-core hook-up wire, 6-colour set (red, black, yellow, blue, green, white)</t>
  </si>
  <si>
    <t xml:space="preserve">3 boxes = 137 m; with W02-W04 covers the about 91 m used (25 m on the boards, 66 m between boards). White is used for the clock (drawn pink)</t>
  </si>
  <si>
    <t xml:space="preserve">W02</t>
  </si>
  <si>
    <t xml:space="preserve">22 AWG solid-core wire, orange, 25 ft (7.6 m) spool</t>
  </si>
  <si>
    <t xml:space="preserve">reset and mode wires (about 3.8 m)</t>
  </si>
  <si>
    <t xml:space="preserve">Clock, Front panel, Output and others</t>
  </si>
  <si>
    <t xml:space="preserve">W03</t>
  </si>
  <si>
    <t xml:space="preserve">22 AWG solid-core wire, purple (m)</t>
  </si>
  <si>
    <t xml:space="preserve">addresses and step numbers (about 4.7 m); cut from a 30 m reel</t>
  </si>
  <si>
    <t xml:space="preserve">MAR, RAM, Control sequencer and others</t>
  </si>
  <si>
    <t xml:space="preserve">W04</t>
  </si>
  <si>
    <t xml:space="preserve">22 AWG solid-core wire, green, 25 ft (7.6 m) spool</t>
  </si>
  <si>
    <t xml:space="preserve">extra green for data wires (about 32 m needed; the boxes hold 22.9 m)</t>
  </si>
  <si>
    <t xml:space="preserve">PS02</t>
  </si>
  <si>
    <t xml:space="preserve">USB-C breakout with 5.1 kΩ CC resistors (Adafruit 4090)</t>
  </si>
  <si>
    <t xml:space="preserve">power entry on the Bus board, header in 56a–63a; kit prep: supplied with its 8-pin header already soldered (pins down, component side up)</t>
  </si>
  <si>
    <t xml:space="preserve">F01</t>
  </si>
  <si>
    <t xml:space="preserve">Resettable fuse 1.1 A hold, radial (Littelfuse RXEF110)</t>
  </si>
  <si>
    <t xml:space="preserve">on the Bus board, VBUS to +5 V (57d to 57f)</t>
  </si>
  <si>
    <t xml:space="preserve">PSU</t>
  </si>
  <si>
    <t xml:space="preserve">USB-C 5 V 3 A power supply, RCM approved (Raspberry Pi 15 W)</t>
  </si>
  <si>
    <t xml:space="preserve">any RCM-marked USB-C supply giving 5 V at 2.5 A or more, so that F1 can trip on a short</t>
  </si>
  <si>
    <t xml:space="preserve">PG01</t>
  </si>
  <si>
    <t xml:space="preserve">Nano-compatible board (compatible with Arduino®; 5 V, ATmega328P)</t>
  </si>
  <si>
    <t xml:space="preserve">EEPROM programmer</t>
  </si>
  <si>
    <t xml:space="preserve">PG02</t>
  </si>
  <si>
    <t xml:space="preserve">74HC595</t>
  </si>
  <si>
    <t xml:space="preserve">8-bit shift register, DIP-16</t>
  </si>
  <si>
    <t xml:space="preserve">Total parts cost per kit (AUD incl GST)</t>
  </si>
  <si>
    <t xml:space="preserve">Chips per kit (IC lines, excluding programmer)</t>
  </si>
  <si>
    <t xml:space="preserve">Supplier</t>
  </si>
  <si>
    <t xml:space="preserve">Part / SKU</t>
  </si>
  <si>
    <t xml:space="preserve">Pack size</t>
  </si>
  <si>
    <t xml:space="preserve">Price q1 (AUD)</t>
  </si>
  <si>
    <t xml:space="preserve">Break 2 qty</t>
  </si>
  <si>
    <t xml:space="preserve">Break 2 price</t>
  </si>
  <si>
    <t xml:space="preserve">Break 3 qty</t>
  </si>
  <si>
    <t xml:space="preserve">Break 3 price</t>
  </si>
  <si>
    <t xml:space="preserve">Price incl GST?</t>
  </si>
  <si>
    <t xml:space="preserve">Stock shown</t>
  </si>
  <si>
    <t xml:space="preserve">Suitable</t>
  </si>
  <si>
    <t xml:space="preserve">Checked</t>
  </si>
  <si>
    <t xml:space="preserve">URL</t>
  </si>
  <si>
    <t xml:space="preserve">Note</t>
  </si>
  <si>
    <t xml:space="preserve">Packs @T1</t>
  </si>
  <si>
    <t xml:space="preserve">Packs @T2</t>
  </si>
  <si>
    <t xml:space="preserve">Packs @T3</t>
  </si>
  <si>
    <t xml:space="preserve">Pack price incl GST @T1</t>
  </si>
  <si>
    <t xml:space="preserve">@T2</t>
  </si>
  <si>
    <t xml:space="preserve">@T3</t>
  </si>
  <si>
    <t xml:space="preserve">Key T1</t>
  </si>
  <si>
    <t xml:space="preserve">Key T3</t>
  </si>
  <si>
    <t xml:space="preserve">Mouser Australia</t>
  </si>
  <si>
    <t xml:space="preserve">CD74HCT00E (595-CD74HCT00E)</t>
  </si>
  <si>
    <t xml:space="preserve">N</t>
  </si>
  <si>
    <t xml:space="preserve">590</t>
  </si>
  <si>
    <t xml:space="preserve">Y</t>
  </si>
  <si>
    <t xml:space="preserve">2026-10-25</t>
  </si>
  <si>
    <t xml:space="preserve">https://au.mouser.com/c/?q=CD74HCT00E</t>
  </si>
  <si>
    <t xml:space="preserve">Mouser page states no GST treatment; treated as ex GST. TI PDIP-14 tube.</t>
  </si>
  <si>
    <t xml:space="preserve">Wiltronics (AU)</t>
  </si>
  <si>
    <t xml:space="preserve">not shown</t>
  </si>
  <si>
    <t xml:space="preserve">https://www.wiltronics.com.au/product/317/74hct00-quad-2-input-nand-gate-4/</t>
  </si>
  <si>
    <t xml:space="preserve">Wiltronics states prices include GST; no stock indicator on page. Not on preferred list but Australian retailer. DIP-14; manufacturer not stated. Highest break shown is 25. element14 AU: no DIP 74HCT00 (SMD only).</t>
  </si>
  <si>
    <t xml:space="preserve">CD74HCT02E (595-CD74HCT02E)</t>
  </si>
  <si>
    <t xml:space="preserve">2054</t>
  </si>
  <si>
    <t xml:space="preserve">https://au.mouser.com/c/?q=CD74HCT02E</t>
  </si>
  <si>
    <t xml:space="preserve">Mouser page states no GST treatment; treated as ex GST. TI PDIP-14.</t>
  </si>
  <si>
    <t xml:space="preserve">https://www.wiltronics.com.au/product/3759/74hct02-quad-2-input-positive-nor-gate/</t>
  </si>
  <si>
    <t xml:space="preserve">Wiltronics states prices include GST; no stock indicator on page. Not on preferred list but Australian retailer. DIP-14; manufacturer not stated. element14 AU: no exact match for CD74HCT02E/SN74HCT02N.</t>
  </si>
  <si>
    <t xml:space="preserve">CD74HCT04E (595-CD74HCT04E)</t>
  </si>
  <si>
    <t xml:space="preserve">3913</t>
  </si>
  <si>
    <t xml:space="preserve">https://au.mouser.com/c/?q=CD74HCT04E</t>
  </si>
  <si>
    <t xml:space="preserve">https://www.wiltronics.com.au/product/320/74hct04-hex-inverter-3/</t>
  </si>
  <si>
    <t xml:space="preserve">Wiltronics states prices include GST; no stock indicator on page. Not on preferred list but Australian retailer. DIP-14. element14 AU: no exact match for CD74HCT04E/SN74HCT04N.</t>
  </si>
  <si>
    <t xml:space="preserve">Core Electronics</t>
  </si>
  <si>
    <t xml:space="preserve">SN74HCT08N (SKU 002-595-SN74HCT08N)</t>
  </si>
  <si>
    <t xml:space="preserve">0 local (out of stock)</t>
  </si>
  <si>
    <t xml:space="preserve">https://core-electronics.com.au/74hct08-quad-2-input-and-gate.html</t>
  </si>
  <si>
    <t xml:space="preserve">Third source. $1.90 inc GST; breaks shown ex GST only: 10+ $1.65, 25+ $1.61. Appears to be Mouser-sourced (002-595 prefix).</t>
  </si>
  <si>
    <t xml:space="preserve">CD74HCT08E (595-CD74HCT08E)</t>
  </si>
  <si>
    <t xml:space="preserve">544</t>
  </si>
  <si>
    <t xml:space="preserve">https://au.mouser.com/c/?q=CD74HCT08E</t>
  </si>
  <si>
    <t xml:space="preserve">element14 Australia</t>
  </si>
  <si>
    <t xml:space="preserve">SN74HCT08N (order code 3120497)</t>
  </si>
  <si>
    <t xml:space="preserve">577 (UK stock, 3-5 business days)</t>
  </si>
  <si>
    <t xml:space="preserve">https://au.element14.com/w/search?st=SN74HCT08N</t>
  </si>
  <si>
    <t xml:space="preserve">element14 shows ex GST with incl-GST in brackets; ex-GST figures recorded. TI DIP-14; incl GST 1.507/0.979/0.8129.</t>
  </si>
  <si>
    <t xml:space="preserve">CD74HCT32E (595-CD74HCT32E)</t>
  </si>
  <si>
    <t xml:space="preserve">845 (+2000 due 19/11/2026)</t>
  </si>
  <si>
    <t xml:space="preserve">https://au.mouser.com/c/?q=CD74HCT32E</t>
  </si>
  <si>
    <t xml:space="preserve">https://wiltronics.com.au/?p=335</t>
  </si>
  <si>
    <t xml:space="preserve">Wiltronics states prices include GST; no stock indicator on page. Not on preferred list but Australian retailer. DIP-14. Core Electronics also lists SN74HCT32N at $2.55 inc GST, 0 local stock.</t>
  </si>
  <si>
    <t xml:space="preserve">SN74HCT32N (order code 3120505)</t>
  </si>
  <si>
    <t xml:space="preserve">0 on hand; available to order, deliveries from 02/01/2027, 16 wk lead</t>
  </si>
  <si>
    <t xml:space="preserve">https://au.element14.com/w/search?st=SN74HCT32N</t>
  </si>
  <si>
    <t xml:space="preserve">element14 shows ex GST with incl-GST in brackets; ex-GST figures recorded. TI DIP-14.</t>
  </si>
  <si>
    <t xml:space="preserve">CD74HCT86E (595-CD74HCT86E)</t>
  </si>
  <si>
    <t xml:space="preserve">2754</t>
  </si>
  <si>
    <t xml:space="preserve">https://au.mouser.com/c/?q=CD74HCT86E</t>
  </si>
  <si>
    <t xml:space="preserve">Mouser page states no GST treatment; treated as ex GST. TI PDIP-14. Alt on same page: CD74HCT86EE4 571 stock, 1.62/1.20/0.924.</t>
  </si>
  <si>
    <t xml:space="preserve">CD74HCT86E</t>
  </si>
  <si>
    <t xml:space="preserve">https://au.element14.com/w/search?st=CD74HCT86E</t>
  </si>
  <si>
    <t xml:space="preserve">No exact match on au.element14.com search (similar parts only); no DIP HCT version listed. SN74HCT86N also no match. Wiltronics 74HCT list has no 86. Only one supplier with price found; DigiKey/Altronics/Jaycar/RS pages blocked or gave no price.</t>
  </si>
  <si>
    <t xml:space="preserve">CD74HCT107E (595-CD74HCT107E)</t>
  </si>
  <si>
    <t xml:space="preserve">849</t>
  </si>
  <si>
    <t xml:space="preserve">https://au.mouser.com/ProductDetail/595-CD74HCT107E</t>
  </si>
  <si>
    <t xml:space="preserve">Mouser marks END OF LIFE (scheduled for discontinuation), 20 wk factory lead. Mouser page states no GST treatment; treated as ex GST. </t>
  </si>
  <si>
    <t xml:space="preserve">CD74HCT107E</t>
  </si>
  <si>
    <t xml:space="preserve">https://au.element14.com/w/search?st=CD74HCT107E</t>
  </si>
  <si>
    <t xml:space="preserve">No exact match on au.element14.com search (similar parts only); no DIP HCT version listed. Only one supplier found; part is EOL.</t>
  </si>
  <si>
    <t xml:space="preserve">CD74HCT138E (595-CD74HCT138E)</t>
  </si>
  <si>
    <t xml:space="preserve">1117</t>
  </si>
  <si>
    <t xml:space="preserve">https://au.mouser.com/c/?q=CD74HCT138E</t>
  </si>
  <si>
    <t xml:space="preserve">Mouser page states no GST treatment; treated as ex GST. TI PDIP-16.</t>
  </si>
  <si>
    <t xml:space="preserve">https://www.wiltronics.com.au/product/321/74hct138-expandable-38-decoder-2/</t>
  </si>
  <si>
    <t xml:space="preserve">Wiltronics states prices include GST; no stock indicator on page. Not on preferred list but Australian retailer. DIP-16. Product page shows $1.10 but the category listing shows $2.45; confirm at cart. element14: no match.</t>
  </si>
  <si>
    <t xml:space="preserve">CD74HCT139E (595-CD74HCT139E)</t>
  </si>
  <si>
    <t xml:space="preserve">970</t>
  </si>
  <si>
    <t xml:space="preserve">https://au.mouser.com/c/?q=CD74HCT139E</t>
  </si>
  <si>
    <t xml:space="preserve">Mouser page states no GST treatment; treated as ex GST. TI PDIP-16. Alt same page: CD74HCT139EE4 750 stock, 1.61/1.18/0.914.</t>
  </si>
  <si>
    <t xml:space="preserve">CD74HCT139E</t>
  </si>
  <si>
    <t xml:space="preserve">https://au.element14.com/w/search?st=CD74HCT139E</t>
  </si>
  <si>
    <t xml:space="preserve">No exact match on au.element14.com search (similar parts only); no DIP HCT version listed. Wiltronics has 74HC139 only (HC, not HCT). Only one HCT supplier found.</t>
  </si>
  <si>
    <t xml:space="preserve">CD74HCT157E (595-CD74HCT157E)</t>
  </si>
  <si>
    <t xml:space="preserve">233 (+1000 due 19/11/2026)</t>
  </si>
  <si>
    <t xml:space="preserve">https://au.mouser.com/c/?q=CD74HCT157E</t>
  </si>
  <si>
    <t xml:space="preserve">SN74HCT157N (order code 3121103)</t>
  </si>
  <si>
    <t xml:space="preserve">297</t>
  </si>
  <si>
    <t xml:space="preserve">https://au.element14.com/w/search?st=SN74HCT157N</t>
  </si>
  <si>
    <t xml:space="preserve">element14 shows ex GST with incl-GST in brackets; ex-GST figures recorded. TI DIP-16; incl GST 1.859/1.221/1.0043.</t>
  </si>
  <si>
    <t xml:space="preserve">CD74HCT161E (595-CD74HCT161E)</t>
  </si>
  <si>
    <t xml:space="preserve">486</t>
  </si>
  <si>
    <t xml:space="preserve">https://au.mouser.com/c/?q=CD74HCT161E</t>
  </si>
  <si>
    <t xml:space="preserve">Mouser page states no GST treatment; treated as ex GST. TI PDIP-16. Alt same page: CD74HCT161EE4 41 stock (+1000 due 23/04/2027).</t>
  </si>
  <si>
    <t xml:space="preserve">CD74HCT161E</t>
  </si>
  <si>
    <t xml:space="preserve">https://au.element14.com/w/search?st=CD74HCT161E</t>
  </si>
  <si>
    <t xml:space="preserve">No exact match on au.element14.com search (similar parts only); no DIP HCT version listed. Only one supplier found.</t>
  </si>
  <si>
    <t xml:space="preserve">CD74HCT173E (595-CD74HCT173E)</t>
  </si>
  <si>
    <t xml:space="preserve">1717</t>
  </si>
  <si>
    <t xml:space="preserve">https://au.mouser.com/c/?q=CD74HCT173E</t>
  </si>
  <si>
    <t xml:space="preserve">74HCT173</t>
  </si>
  <si>
    <t xml:space="preserve">https://www.wiltronics.com.au/product/329/74hct173-tri-state-quad-d-flipflop/</t>
  </si>
  <si>
    <t xml:space="preserve">Wiltronics states prices include GST; no stock indicator on page. Not on preferred list but Australian retailer. DIP-16. Needs 900 for 100 kits; stock unknown. element14: no match.</t>
  </si>
  <si>
    <t xml:space="preserve">CD74HCT174E (595-CD74HCT174E)</t>
  </si>
  <si>
    <t xml:space="preserve">313</t>
  </si>
  <si>
    <t xml:space="preserve">https://au.mouser.com/c/?q=CD74HCT174E</t>
  </si>
  <si>
    <t xml:space="preserve">CD74HCT174E</t>
  </si>
  <si>
    <t xml:space="preserve">https://au.element14.com/w/search?st=CD74HCT174E</t>
  </si>
  <si>
    <t xml:space="preserve">No exact match on au.element14.com search (similar parts only); no DIP HCT version listed. element14 and Wiltronics list 74HC174 (HC) only. Only one HCT supplier found.</t>
  </si>
  <si>
    <t xml:space="preserve">CD74HCT245E (595-CD74HCT245E)</t>
  </si>
  <si>
    <t xml:space="preserve">2044</t>
  </si>
  <si>
    <t xml:space="preserve">https://au.mouser.com/ProductDetail/595-CD74HCT245E</t>
  </si>
  <si>
    <t xml:space="preserve">Mouser page states no GST treatment; treated as ex GST. TI PDIP-20. Break 20 = 0.919. Also SN74HCT245N 595-SN74HCT245N 6211 stock 1.42/0.973/0.837.</t>
  </si>
  <si>
    <t xml:space="preserve">SN74HCT245N (order code 3119519)</t>
  </si>
  <si>
    <t xml:space="preserve">173 (+1000 incoming)</t>
  </si>
  <si>
    <t xml:space="preserve">https://au.element14.com/w/search?st=SN74HCT245N</t>
  </si>
  <si>
    <t xml:space="preserve">element14 shows ex GST with incl-GST in brackets; ex-GST figures recorded. TI DIP-20; 16 wk lead. Needs 900 for 100 kits.</t>
  </si>
  <si>
    <t xml:space="preserve">CD74HCT283E (595-CD74HCT283E)</t>
  </si>
  <si>
    <t xml:space="preserve">994</t>
  </si>
  <si>
    <t xml:space="preserve">https://au.mouser.com/c/?q=74HCT283</t>
  </si>
  <si>
    <t xml:space="preserve">Mouser page states no GST treatment; treated as ex GST. TI CD74HCT283E listed in 74HCT283 search; package not stated on search page but E suffix = PDIP-16.</t>
  </si>
  <si>
    <t xml:space="preserve">CD74HC283E (595-CD74HC283E)</t>
  </si>
  <si>
    <t xml:space="preserve">305 (+1000 due 19/11/2026)</t>
  </si>
  <si>
    <t xml:space="preserve">https://au.mouser.com/ProductDetail/595-CD74HC283E</t>
  </si>
  <si>
    <t xml:space="preserve">HC family alternative (acceptable). Mouser page states no GST treatment; treated as ex GST. PDIP-16.</t>
  </si>
  <si>
    <t xml:space="preserve">CD74HC283E (order code 3121043)</t>
  </si>
  <si>
    <t xml:space="preserve">No Longer Stocked</t>
  </si>
  <si>
    <t xml:space="preserve">https://au.element14.com/w/search?st=CD74HC283E</t>
  </si>
  <si>
    <t xml:space="preserve">element14 lists CD74HC283E as No Longer Stocked, no price. CD74HCT283E and SN74HC283N: no match. Only Mouser found.</t>
  </si>
  <si>
    <t xml:space="preserve">CD74HCT377E (595-CD74HCT377E)</t>
  </si>
  <si>
    <t xml:space="preserve">875</t>
  </si>
  <si>
    <t xml:space="preserve">https://au.mouser.com/c/?q=74HCT377</t>
  </si>
  <si>
    <t xml:space="preserve">Mouser page states no GST treatment; treated as ex GST. TI PDIP-20; Mouser break is 20 (1.18) and 100. Alt same page: SN74HCT377N 1070 stock 2.26/1.54/1.33.</t>
  </si>
  <si>
    <t xml:space="preserve">CD74HCT377E</t>
  </si>
  <si>
    <t xml:space="preserve">https://au.element14.com/w/search?st=CD74HCT377E</t>
  </si>
  <si>
    <t xml:space="preserve">No exact match on au.element14.com search (similar parts only); no DIP HCT version listed. SN74HCT377N also no match. Only one supplier found.</t>
  </si>
  <si>
    <t xml:space="preserve">CE09912 (TI 555, 8-pin DIP; datasheet linked is NE555)</t>
  </si>
  <si>
    <t xml:space="preserve">100 from local stock plus supplier stock</t>
  </si>
  <si>
    <t xml:space="preserve">https://core-electronics.com.au/555-timer-general-purpose-timer-ic.html</t>
  </si>
  <si>
    <t xml:space="preserve">Core prices GST inclusive (site FAQ). No qty breaks shown. Page does not print the exact MPN; TI part with NE555 datasheet.</t>
  </si>
  <si>
    <t xml:space="preserve">NE555P (TI, PDIP-8)</t>
  </si>
  <si>
    <t xml:space="preserve">62,467 in stock; 5,000 on order (exp 1/02/2027)</t>
  </si>
  <si>
    <t xml:space="preserve">https://au.mouser.com/en/ProductDetail/Texas-Instruments/NE555P?qs=rkhjVJ6%2F3EIf4CWgjIKuKQ%3D%3D</t>
  </si>
  <si>
    <t xml:space="preserve">Mouser AU price in AUD; page states no GST treatment (only 'prices include duty and customs fees', DDP). Treated as ex-GST (GST added at checkout) - confirm at checkout.</t>
  </si>
  <si>
    <t xml:space="preserve">AS6C62256-55PCN (Alliance Memory)</t>
  </si>
  <si>
    <t xml:space="preserve">1,374 (20 wk factory lead beyond stock)</t>
  </si>
  <si>
    <t xml:space="preserve">https://au.mouser.com/ProductDetail/913-AS6C62256-55PCN</t>
  </si>
  <si>
    <t xml:space="preserve">PDIP-28. GST is not mentioned on the page, so ex-GST is assumed. The alternative AS6C62256A-70PCN is listed by Mouser as obsolete and not sold in the AU region.</t>
  </si>
  <si>
    <t xml:space="preserve">262 (UK stock, 3-5 business days); mfr lead 23 wk</t>
  </si>
  <si>
    <t xml:space="preserve">https://au.element14.com/alliance-memory-inc/as6c62256-55pcn/sram-256kbit-0-to-70deg-c-dip/dp/4260906</t>
  </si>
  <si>
    <t xml:space="preserve">PDIP-28 (600 mil). Price is 18.51 ex GST, 20.36 inc GST. The page shows only a 1+ price break.</t>
  </si>
  <si>
    <t xml:space="preserve">AT28C256-15PU (Microchip)</t>
  </si>
  <si>
    <t xml:space="preserve">250 in stock; 952 on order due 30/10/2026; 8 wk factory lead</t>
  </si>
  <si>
    <t xml:space="preserve">https://au.mouser.com/ProductDetail/556-AT28C25615PU</t>
  </si>
  <si>
    <t xml:space="preserve">PDIP-28. In stock, so no alternative EEPROM is needed. Breaks are at 28 and 112. GST is not mentioned on the page, so ex-GST is assumed.</t>
  </si>
  <si>
    <t xml:space="preserve">1,183 (UK stock, 3-5 business days); mfr lead 29 wk</t>
  </si>
  <si>
    <t xml:space="preserve">https://au.element14.com/microchip/at28c256-15pu/parallel-eeprom-256kbit-dip-28/dp/1095782</t>
  </si>
  <si>
    <t xml:space="preserve">PDIP-28. In stock. Price is 18.31 ex GST, 20.14 inc GST. The page shows only 1+ and 25+ breaks, so the 25+ break is recorded in the qty-10 field. A second order code, 2748829 (ATMEL brand), shows 62 units of US stock with breaks at 1+ 18.31, 10+ 17.95 and 100+ 16.85 ex GST.</t>
  </si>
  <si>
    <t xml:space="preserve">2N3906BU (512-2N3906BU)</t>
  </si>
  <si>
    <t xml:space="preserve">58538</t>
  </si>
  <si>
    <t xml:space="preserve">https://au.mouser.com/c/?q=2N3906</t>
  </si>
  <si>
    <t xml:space="preserve">Mouser page states no GST treatment; treated as ex GST. onsemi TO-92 bulk.</t>
  </si>
  <si>
    <t xml:space="preserve">2N3906BU (order code 2453313)</t>
  </si>
  <si>
    <t xml:space="preserve">33373 (+20000 incoming)</t>
  </si>
  <si>
    <t xml:space="preserve">https://au.element14.com/w/search?st=2N3906BU</t>
  </si>
  <si>
    <t xml:space="preserve">element14 shows ex GST with incl-GST in brackets; ex-GST figures recorded. Min order 5, multiple 5; q1 field is the 5+ price.</t>
  </si>
  <si>
    <t xml:space="preserve">SA56-11EWA (604-SA5611EWA)</t>
  </si>
  <si>
    <t xml:space="preserve">1586 (+3240 on order)</t>
  </si>
  <si>
    <t xml:space="preserve">https://au.mouser.com/c/?q=SA56-11EWA</t>
  </si>
  <si>
    <t xml:space="preserve">Mouser page states no GST treatment; treated as ex GST. Kingbright 0.56 in single digit, COMMON ANODE, red. Page showed a stock-panel error.</t>
  </si>
  <si>
    <t xml:space="preserve">SA56-11EWA (order code 1142440)</t>
  </si>
  <si>
    <t xml:space="preserve">not shown per item</t>
  </si>
  <si>
    <t xml:space="preserve">https://au.element14.com/w/search?st=SA56-11EWA</t>
  </si>
  <si>
    <t xml:space="preserve">element14 shows ex GST with incl-GST in brackets; ex-GST figures recorded. Common anode, 14.22 mm (0.56 in), 1 digit. Min 5; q1 field is 5+ price. Core Electronics alt: SparkFun COM-08546 CA red $3.25 inc GST, stock unclear, page says 0.6 in digit height.</t>
  </si>
  <si>
    <t xml:space="preserve">COM-00533</t>
  </si>
  <si>
    <t xml:space="preserve">lead time, dispatch Oct 28-Nov 03</t>
  </si>
  <si>
    <t xml:space="preserve">https://core-electronics.com.au/led-basic-red-3mm.html</t>
  </si>
  <si>
    <t xml:space="preserve">SparkFun basic red 3 mm, single. Breaks: 5+ 0.82, 25+ 0.80, 100+ 0.77. 25-pack ADA777 is $9.05 ex GST but out of stock. Core Electronics: q1 and breaks recorded ex GST (page shows q1 inc GST as well).</t>
  </si>
  <si>
    <t xml:space="preserve">2112100 / MPN 703-0090</t>
  </si>
  <si>
    <t xml:space="preserve">5,411 (UK)</t>
  </si>
  <si>
    <t xml:space="preserve">https://au.element14.com/multicomp-pro/703-0090/led-3mm-red-100mcd-643nm/dp/2112100</t>
  </si>
  <si>
    <t xml:space="preserve">Multicomp Pro 3 mm red THT. Min 5, multiple 5; q1 is the 5+ unit price. element14 AU per-unit price ex GST (page also shows incl GST = +10%); ships from UK stock 3-5 business days.</t>
  </si>
  <si>
    <t xml:space="preserve">COM-09650</t>
  </si>
  <si>
    <t xml:space="preserve">not in stock; lead time, dispatch Oct 28-Nov 03</t>
  </si>
  <si>
    <t xml:space="preserve">https://core-electronics.com.au/led-basic-green-3mm.html</t>
  </si>
  <si>
    <t xml:space="preserve">SparkFun basic green 3 mm. Breaks 5+/25+/100+ = 0.82/0.80/0.77. Core Electronics: q1 and breaks recorded ex GST (page shows q1 inc GST as well).</t>
  </si>
  <si>
    <t xml:space="preserve">2112096 / MPN 703-0087</t>
  </si>
  <si>
    <t xml:space="preserve">7,754 (UK) + 10,000 incoming</t>
  </si>
  <si>
    <t xml:space="preserve">https://au.element14.com/multicomp/703-0087/led-green-3mm-572nm-standard/dp/2112096</t>
  </si>
  <si>
    <t xml:space="preserve">Multicomp Pro 3 mm green THT. Min 5, multiple 5. element14 AU per-unit price ex GST (page also shows incl GST = +10%); ships from UK stock 3-5 business days.</t>
  </si>
  <si>
    <t xml:space="preserve">COM-00532</t>
  </si>
  <si>
    <t xml:space="preserve">lead time, dispatch Oct 29-Nov 04</t>
  </si>
  <si>
    <t xml:space="preserve">https://core-electronics.com.au/led-basic-yellow-3mm.html</t>
  </si>
  <si>
    <t xml:space="preserve">SparkFun basic yellow 3 mm. Breaks 5+/25+/100+ = 0.75/0.75/0.71. Core Electronics: q1 and breaks recorded ex GST (page shows q1 inc GST as well).</t>
  </si>
  <si>
    <t xml:space="preserve">2112098 / MPN 703-0088</t>
  </si>
  <si>
    <t xml:space="preserve">17,219 (UK)</t>
  </si>
  <si>
    <t xml:space="preserve">https://au.element14.com/multicomp-pro/703-0088/led-3mm-yellow-50mcd-590nm/dp/2112098</t>
  </si>
  <si>
    <t xml:space="preserve">Multicomp Pro 3 mm yellow THT. Min 5, multiple 5. element14 AU per-unit price ex GST (page also shows incl GST = +10%); ships from UK stock 3-5 business days.</t>
  </si>
  <si>
    <t xml:space="preserve">ADA780 Diffused Blue 3mm LED 25-pack</t>
  </si>
  <si>
    <t xml:space="preserve">2 local + supplier</t>
  </si>
  <si>
    <t xml:space="preserve">https://core-electronics.com.au/diffused-blue-3mm-led-25-pack.html</t>
  </si>
  <si>
    <t xml:space="preserve">Adafruit 25-pack, no breaks. element14: WP710A10QBC/D not found. Stock risk for 800 LEDs (32 packs).</t>
  </si>
  <si>
    <t xml:space="preserve">WP710A10QBC/D (604-WP710A10QBC/D)</t>
  </si>
  <si>
    <t xml:space="preserve">36871</t>
  </si>
  <si>
    <t xml:space="preserve">https://au.mouser.com/c/?q=WP710A10QBC</t>
  </si>
  <si>
    <t xml:space="preserve">Mouser page states no GST treatment; treated as ex GST. Kingbright 3 mm blue 470 nm water clear. Direct product page failed; price from search page.</t>
  </si>
  <si>
    <t xml:space="preserve">ADA4294</t>
  </si>
  <si>
    <t xml:space="preserve">OUT OF STOCK</t>
  </si>
  <si>
    <t xml:space="preserve">https://core-electronics.com.au/through-hole-resistors-1-0k-ohm-5-1-4w-pack-of-25.html</t>
  </si>
  <si>
    <t xml:space="preserve">Adafruit 1k 5% 1/4 W pack of 25. Breaks 10+ 1.45, 50+ 1.43 (no 100 break). Alternative PRT-14492 20-pack $2.30 incl GST, 0 local stock. Jaycar RR0572 is 1k 0.5 W metal film pk 8 at $0.85. Core Electronics: q1 and breaks recorded ex GST (page shows q1 inc GST as well).</t>
  </si>
  <si>
    <t xml:space="preserve">9339051 / MPN MCF 0.25W 1K</t>
  </si>
  <si>
    <t xml:space="preserve">41,471 (UK) + 205,000 incoming</t>
  </si>
  <si>
    <t xml:space="preserve">https://au.element14.com/multicomp-pro/mcf-0-25w-1k/res-1k-5-250mw-axial-carbon-film/dp/9339051</t>
  </si>
  <si>
    <t xml:space="preserve">Carbon film 1k 5% 0.25 W axial. Min 10, multiple 10 (q1 = 10+ unit price; min order 10 = $0.59 ex GST). element14 AU per-unit price ex GST (page also shows incl GST = +10%); ships from UK stock 3-5 business days.</t>
  </si>
  <si>
    <t xml:space="preserve">MFR-25FBF52-2K2 (603-MFR-25FBF52-2K2)</t>
  </si>
  <si>
    <t xml:space="preserve">19605 (+20000 due 12/01/2027)</t>
  </si>
  <si>
    <t xml:space="preserve">https://au.mouser.com/c/?q=MFR-25FBF52-2K2</t>
  </si>
  <si>
    <t xml:space="preserve">Mouser page states no GST treatment; treated as ex GST. Yageo 1/4 W 1%, bulk.</t>
  </si>
  <si>
    <t xml:space="preserve">MFR-25FBF52-2K2 (order code 4555518)</t>
  </si>
  <si>
    <t xml:space="preserve">in stock (qty not shown)</t>
  </si>
  <si>
    <t xml:space="preserve">https://au.element14.com/w/search?st=MFR-25FBF52-2K2</t>
  </si>
  <si>
    <t xml:space="preserve">element14 shows ex GST with incl-GST in brackets; ex-GST figures recorded. Cut tape. Order code 4560126 (same MPN): 10+ 0.061, 100+ 0.040.</t>
  </si>
  <si>
    <t xml:space="preserve">CE09886</t>
  </si>
  <si>
    <t xml:space="preserve">1,362 local</t>
  </si>
  <si>
    <t xml:space="preserve">https://core-electronics.com.au/resistor-10k-ohm-025-watt-pth.html</t>
  </si>
  <si>
    <t xml:space="preserve">10k 0.25 W PTH, sold singly (pack size not stated). q1 $0.10 inc GST. Core Electronics: q1 and breaks recorded ex GST (page shows q1 inc GST as well).</t>
  </si>
  <si>
    <t xml:space="preserve">9339060 / MPN MCF 0.25W 10K</t>
  </si>
  <si>
    <t xml:space="preserve">232,860 (UK)</t>
  </si>
  <si>
    <t xml:space="preserve">https://au.element14.com/multicomp-pro/mcf-0-25w-10k/res-10k-5-250mw-axial-carbon-film/dp/9339060</t>
  </si>
  <si>
    <t xml:space="preserve">Carbon film 10k 5% 0.25 W axial. Min 10, multiple 10. element14 AU per-unit price ex GST (page also shows incl GST = +10%); ships from UK stock 3-5 business days.</t>
  </si>
  <si>
    <t xml:space="preserve">MFR-25FBF52-100K (603-MFR-25FBF52-100K)</t>
  </si>
  <si>
    <t xml:space="preserve">15904 (+70000 on order)</t>
  </si>
  <si>
    <t xml:space="preserve">https://au.mouser.com/c/?q=MFR-25FBF52-100K</t>
  </si>
  <si>
    <t xml:space="preserve">MFR-25FBF52-100K (order code 3951793)</t>
  </si>
  <si>
    <t xml:space="preserve">21981</t>
  </si>
  <si>
    <t xml:space="preserve">https://au.element14.com/w/search?st=MFR-25FBF52-100K</t>
  </si>
  <si>
    <t xml:space="preserve">element14 shows ex GST with incl-GST in brackets; ex-GST figures recorded. Min order 10, multiple 10; q1 field is the 10+ price.</t>
  </si>
  <si>
    <t xml:space="preserve">MFR-25FBF52-470R (603-MFR-25FBF52-470R)</t>
  </si>
  <si>
    <t xml:space="preserve">5864 (+10000 due 28/12/2026)</t>
  </si>
  <si>
    <t xml:space="preserve">https://au.mouser.com/c/?q=MFR-25FBF52-470R</t>
  </si>
  <si>
    <t xml:space="preserve">Mouser page states no GST treatment; treated as ex GST. Yageo 1/4 W 1% metal film, bulk.</t>
  </si>
  <si>
    <t xml:space="preserve">MFR-25FTE52-470R (order code 4553244)</t>
  </si>
  <si>
    <t xml:space="preserve">https://au.element14.com/w/search?st=MFR-25FTE52-470R</t>
  </si>
  <si>
    <t xml:space="preserve">element14 shows ex GST with incl-GST in brackets; ex-GST figures recorded. Yageo 470R 0.25 W 1%, cut tape. No 10 break; 25+. Order code 3496932 (same MPN) 10+ 0.061, 100+ 0.040.</t>
  </si>
  <si>
    <t xml:space="preserve">4609X-101-103LF (652-4609X-1LF-10K)</t>
  </si>
  <si>
    <t xml:space="preserve">64055</t>
  </si>
  <si>
    <t xml:space="preserve">https://au.mouser.com/c/?q=4609X-101-103LF</t>
  </si>
  <si>
    <t xml:space="preserve">Mouser page states no GST treatment; treated as ex GST. Bourns SIP-9 bussed 8x10k, bulk.</t>
  </si>
  <si>
    <t xml:space="preserve">4609X-101-103LF (order code 9356819)</t>
  </si>
  <si>
    <t xml:space="preserve">50724 (+20000 incoming)</t>
  </si>
  <si>
    <t xml:space="preserve">https://au.element14.com/w/search?st=4609X-101-103LF</t>
  </si>
  <si>
    <t xml:space="preserve">element14 shows ex GST with incl-GST in brackets; ex-GST figures recorded. No 10 break; nearest is 50+.</t>
  </si>
  <si>
    <t xml:space="preserve">4605X-101-103LF (652-4605X-1LF-10K)</t>
  </si>
  <si>
    <t xml:space="preserve">11781 (+32000 on order)</t>
  </si>
  <si>
    <t xml:space="preserve">https://au.mouser.com/c/?q=4605X-101-103LF</t>
  </si>
  <si>
    <t xml:space="preserve">Mouser page states no GST treatment; treated as ex GST. Bourns SIP-5 bussed 4x10k, bulk.</t>
  </si>
  <si>
    <t xml:space="preserve">4605X-101-103LF (order code 9356061)</t>
  </si>
  <si>
    <t xml:space="preserve">19425</t>
  </si>
  <si>
    <t xml:space="preserve">https://au.element14.com/w/search?st=4605X-101-103LF</t>
  </si>
  <si>
    <t xml:space="preserve">element14 shows ex GST with incl-GST in brackets; ex-GST figures recorded. No 10 break; nearest 50+. 18 wk lead.</t>
  </si>
  <si>
    <t xml:space="preserve">CE05188</t>
  </si>
  <si>
    <t xml:space="preserve">135 local</t>
  </si>
  <si>
    <t xml:space="preserve">https://core-electronics.com.au/100nf-ceramic-disc-capacitor.html</t>
  </si>
  <si>
    <t xml:space="preserve">100 nF 50 V ceramic disc, single. Breaks 10+ 0.35, 25+ 0.34 (no 100 break). $0.40 inc GST. Core Electronics: q1 and breaks recorded ex GST (page shows q1 inc GST as well).</t>
  </si>
  <si>
    <t xml:space="preserve">Jaycar</t>
  </si>
  <si>
    <t xml:space="preserve">RC5496</t>
  </si>
  <si>
    <t xml:space="preserve">not shown (store select)</t>
  </si>
  <si>
    <t xml:space="preserve">https://jaycar.com.au/p/RC5496</t>
  </si>
  <si>
    <t xml:space="preserve">0.1 uF 50 V monolithic, pack of 100, 5.0 mm pitch THT. Tiers per pack: 25-99 $7.95, 100+ $6.95 (no 10 break). GST not stated on page (treated as incl.).</t>
  </si>
  <si>
    <t xml:space="preserve">K103K15X7RF53L2 (594-K103K15X7RF53L2)</t>
  </si>
  <si>
    <t xml:space="preserve">22480</t>
  </si>
  <si>
    <t xml:space="preserve">https://au.mouser.com/c/?q=K103K15X7RF5TL2</t>
  </si>
  <si>
    <t xml:space="preserve">Mouser page states no GST treatment; treated as ex GST. Vishay 10 nF 50 V X7R, 2.5 mm (0.1 in) lead spacing, bulk. Same page: K103K15X7RF5TL2 (reel/cut tape) 66083 stock 0.406/0.168/0.139.</t>
  </si>
  <si>
    <t xml:space="preserve">K103K15X7RF5TL2 (order code 2860092)</t>
  </si>
  <si>
    <t xml:space="preserve">39417</t>
  </si>
  <si>
    <t xml:space="preserve">https://au.element14.com/w/search?st=K103K15X7RF5TL2</t>
  </si>
  <si>
    <t xml:space="preserve">element14 shows ex GST with incl-GST in brackets; ex-GST figures recorded. Min order 10, multiple 10; q1 field is 10+ price. 2.5 mm leads.</t>
  </si>
  <si>
    <t xml:space="preserve">CE05268</t>
  </si>
  <si>
    <t xml:space="preserve">2 local + lead time</t>
  </si>
  <si>
    <t xml:space="preserve">https://core-electronics.com.au/radial-capacitor-1uf.html</t>
  </si>
  <si>
    <t xml:space="preserve">1 uF 50 V radial electrolytic. $0.32 inc GST. Core Electronics: q1 and breaks recorded ex GST (page shows q1 inc GST as well).</t>
  </si>
  <si>
    <t xml:space="preserve">RE6032</t>
  </si>
  <si>
    <t xml:space="preserve">https://jaycar.com.au/p/RE6032</t>
  </si>
  <si>
    <t xml:space="preserve">1 uF 63 V electrolytic RB. Jaycar page price; GST not stated on page (retail shelf price, treated as incl. GST). Stock needs store selection; bulk tiers not shown.</t>
  </si>
  <si>
    <t xml:space="preserve">SparkFun COM-00523</t>
  </si>
  <si>
    <t xml:space="preserve">12 local, 900 in 5-11 days</t>
  </si>
  <si>
    <t xml:space="preserve">https://core-electronics.com.au/electrolytic-decoupling-capacitors-10uf-25v.html</t>
  </si>
  <si>
    <t xml:space="preserve">10 uF 25 V electrolytic. Breaks 5+ 0.83, 25+ 0.81, 100+ 0.78. $0.94 inc GST. Recorded ex GST.</t>
  </si>
  <si>
    <t xml:space="preserve">RE6066</t>
  </si>
  <si>
    <t xml:space="preserve">https://jaycar.com.au/p/RE6066</t>
  </si>
  <si>
    <t xml:space="preserve">10 uF 16 V electrolytic RB. Bulk tiers not shown. GST not stated (treated as incl.).</t>
  </si>
  <si>
    <t xml:space="preserve">CE05258</t>
  </si>
  <si>
    <t xml:space="preserve">43 local</t>
  </si>
  <si>
    <t xml:space="preserve">https://core-electronics.com.au/radial-capacitor-100uf.html</t>
  </si>
  <si>
    <t xml:space="preserve">100 uF 50 V radial electrolytic. $0.28 inc GST. Recorded ex GST.</t>
  </si>
  <si>
    <t xml:space="preserve">RE6130</t>
  </si>
  <si>
    <t xml:space="preserve">https://jaycar.com.au/p/RE6130</t>
  </si>
  <si>
    <t xml:space="preserve">100 uF 16 V electrolytic RB. GST not stated (treated as incl.).</t>
  </si>
  <si>
    <t xml:space="preserve">Altronics</t>
  </si>
  <si>
    <t xml:space="preserve">R2230</t>
  </si>
  <si>
    <t xml:space="preserve">https://www.altronics.com.au/search/all/?sr=R2230</t>
  </si>
  <si>
    <t xml:space="preserve">1M Lin 18T spline 16 mm single horizontal PCB pot. Breaks 10+ $2.35, 20+ $2.00. Page states all prices incl GST. URL is the Altronics search result page (product page URL not given).</t>
  </si>
  <si>
    <t xml:space="preserve">RP7524</t>
  </si>
  <si>
    <t xml:space="preserve">https://jaycar.com.au/1m-ohm-linear-b-single-gang-16mm-potentiometer/p/RP7524</t>
  </si>
  <si>
    <t xml:space="preserve">1M linear 16 mm single gang, solder legs (not PCB pins; needs leads for breadboard). Jaycar page price; GST not stated on page (retail shelf price, treated as incl. GST). Stock needs store selection; bulk tiers not shown.</t>
  </si>
  <si>
    <t xml:space="preserve">CE07828 1x40 header + FIT0140 jumper caps (600)</t>
  </si>
  <si>
    <t xml:space="preserve">header 2061 local; jumper caps 5 local</t>
  </si>
  <si>
    <t xml:space="preserve">https://core-electronics.com.au/male-pin-header-2-54mm-1x40.html</t>
  </si>
  <si>
    <t xml:space="preserve">Header 1x40 $0.45 (cut 13 x 3-pin per strip) plus DFRobot 600-pc jumper cap pack $8.49 (https://core-electronics.com.au/jumper-cap-600pcs.html); price_q1 = sum of one each. No breaks. Per kit cost much lower when split across kits.</t>
  </si>
  <si>
    <t xml:space="preserve">68000-103HLF + 63429-202LF</t>
  </si>
  <si>
    <t xml:space="preserve">header 17939; shunt 11721</t>
  </si>
  <si>
    <t xml:space="preserve">https://au.mouser.com/ProductDetail/649-68000-103HLF</t>
  </si>
  <si>
    <t xml:space="preserve">Mouser page states no GST treatment; treated as ex GST. Sum of Amphenol FCI 3-pin 2.54 mm header 68000-103HLF (0.493/0.418/0.345) and 2-pos shunt 63429-202LF (0.45/0.397/0.305, https://au.mouser.com/ProductDetail/649-63429-202LF).</t>
  </si>
  <si>
    <t xml:space="preserve">ADA367</t>
  </si>
  <si>
    <t xml:space="preserve">5 local, up to 85 in 10-14 days</t>
  </si>
  <si>
    <t xml:space="preserve">https://core-electronics.com.au/tactile-button-switch-6mm-x-20-pack.html</t>
  </si>
  <si>
    <t xml:space="preserve">Adafruit 6 mm tactile 20-pack, breadboard usable. $4.90 inc GST. Core Electronics: q1 and breaks recorded ex GST (page shows q1 inc GST as well).</t>
  </si>
  <si>
    <t xml:space="preserve">SP0603</t>
  </si>
  <si>
    <t xml:space="preserve">https://jaycar.com.au/p/SP0603</t>
  </si>
  <si>
    <t xml:space="preserve">6 mm SPST micro tactile, PCB pins, 6x6x3.2 mm. Jaycar page price; GST not stated on page (retail shelf price, treated as incl. GST). Stock needs store selection; bulk tiers not shown.</t>
  </si>
  <si>
    <t xml:space="preserve">ADA805</t>
  </si>
  <si>
    <t xml:space="preserve">39 local, up to 500 in 8-12 days</t>
  </si>
  <si>
    <t xml:space="preserve">https://core-electronics.com.au/breadboard-friendly-spdt-slide-switch.html</t>
  </si>
  <si>
    <t xml:space="preserve">Adafruit breadboard-friendly SPDT slide switch. $1.90 inc GST. Core Electronics: q1 and breaks recorded ex GST (page shows q1 inc GST as well).</t>
  </si>
  <si>
    <t xml:space="preserve">SS0834</t>
  </si>
  <si>
    <t xml:space="preserve">https://jaycar.com.au/p/SS0834</t>
  </si>
  <si>
    <t xml:space="preserve">SPDT micro slide switch, 0.1 in pitch PCB pins (breadboard). Tiers 10-24 $1.80, 25+ $1.60. GST not stated on page (treated as incl.).</t>
  </si>
  <si>
    <t xml:space="preserve">COM-08034</t>
  </si>
  <si>
    <t xml:space="preserve">6 local, up to 500 in 5-11 days</t>
  </si>
  <si>
    <t xml:space="preserve">https://core-electronics.com.au/dip-switch-8-position.html</t>
  </si>
  <si>
    <t xml:space="preserve">SparkFun 8-position DIP, 0.1 in pins. Breaks 5+/25+/100+ = 3.26/3.20/3.06. $3.70 inc GST. Core Electronics: q1 and breaks recorded ex GST (page shows q1 inc GST as well).</t>
  </si>
  <si>
    <t xml:space="preserve">SM1024</t>
  </si>
  <si>
    <t xml:space="preserve">https://jaycar.com.au/p/SM1024</t>
  </si>
  <si>
    <t xml:space="preserve">8-way DIL switch, 16-pin DIL package. Jaycar page price; GST not stated on page (retail shelf price, treated as incl. GST). Stock needs store selection; bulk tiers not shown.</t>
  </si>
  <si>
    <t xml:space="preserve">SM1020</t>
  </si>
  <si>
    <t xml:space="preserve">https://jaycar.com.au/p/SM1020</t>
  </si>
  <si>
    <t xml:space="preserve">4-way DIL switch, 8-pin DIL package. Jaycar page price; GST not stated on page (retail shelf price, treated as incl. GST). Stock needs store selection; bulk tiers not shown.</t>
  </si>
  <si>
    <t xml:space="preserve">Wiltronics</t>
  </si>
  <si>
    <t xml:space="preserve">SW3004</t>
  </si>
  <si>
    <t xml:space="preserve">https://www.wiltronics.com.au/product/3336/4-way-dil-switch/</t>
  </si>
  <si>
    <t xml:space="preserve">4-way DIL switch. Page states incl GST. Not on preferred list (Australian retailer); Core and Altronics 4-way not found/fetchable. Protostack SW-DIP-4 also $1.70, 41 in stock.</t>
  </si>
  <si>
    <t xml:space="preserve">CE00304</t>
  </si>
  <si>
    <t xml:space="preserve">355 local, up to 300 in 8-12 days</t>
  </si>
  <si>
    <t xml:space="preserve">https://core-electronics.com.au/solderless-breadboard-830-tie-point-zy-102.html</t>
  </si>
  <si>
    <t xml:space="preserve">ZY-102 830 tie-point. Breaks 25+/50+/100+ = 3.41/3.24/3.05 (no 10 break). $3.95 inc GST. Core Electronics: q1 and breaks recorded ex GST (page shows q1 inc GST as well).</t>
  </si>
  <si>
    <t xml:space="preserve">PB8815</t>
  </si>
  <si>
    <t xml:space="preserve">https://jaycar.com.au/p/PB8815</t>
  </si>
  <si>
    <t xml:space="preserve">830 tie-point breadboard. Tiers: 5 $18.45, 6+ $16.45. GST not stated on page (treated as incl.).</t>
  </si>
  <si>
    <t xml:space="preserve">W2430</t>
  </si>
  <si>
    <t xml:space="preserve">https://www.altronics.com.au/product/w2430-solid-core-05mm-6-colour-hobby-wire-pack</t>
  </si>
  <si>
    <t xml:space="preserve">0.5 mm (about 24 AWG), not 22 AWG. Solid core 0.5 mm (approx 24 AWG, not 22 AWG) 6-colour hobby wire pack, 10 m each. Breaks 2+ $24.25, 4+ $21.75. Price read from altronics search page sr=W2430; incl GST per page. Jaycar WH3032 (24 AWG, 5 colours, $8.25) also seen.</t>
  </si>
  <si>
    <t xml:space="preserve">PRT-11367</t>
  </si>
  <si>
    <t xml:space="preserve">13 local</t>
  </si>
  <si>
    <t xml:space="preserve">https://core-electronics.com.au/hook-up-wire-assortment-solid-core-22-awg.html</t>
  </si>
  <si>
    <t xml:space="preserve">SparkFun 22 AWG solid core, 6 colours x 25 ft (7.6 m) in dispenser box. Breaks 5+/25+/100+ = 47.45/46.46/44.51. $53.80 inc GST. Core Electronics: q1 and breaks recorded ex GST (page shows q1 inc GST as well).</t>
  </si>
  <si>
    <t xml:space="preserve">ADA2986</t>
  </si>
  <si>
    <t xml:space="preserve">out of stock on the day</t>
  </si>
  <si>
    <t xml:space="preserve">2026-10-30</t>
  </si>
  <si>
    <t xml:space="preserve">https://core-electronics.com.au/solid-core-wire-spool-25ft-22awg-orange.html</t>
  </si>
  <si>
    <t xml:space="preserve">Adafruit solid-core wire spool, 25 ft, 22 AWG, orange. $10.20 inc GST; breaks 10+ 8.99, 50+ 8.81 ex GST. Recorded ex GST.</t>
  </si>
  <si>
    <t xml:space="preserve">RS Components Australia</t>
  </si>
  <si>
    <t xml:space="preserve">842-5387 / MPN 3051/1 VI005</t>
  </si>
  <si>
    <t xml:space="preserve">46 (ships from another location)</t>
  </si>
  <si>
    <t xml:space="preserve">https://au.rs-online.com/web/p/hook-up-wire/8425387</t>
  </si>
  <si>
    <t xml:space="preserve">Alpha Wire 22 AWG solid (1/0.64 mm) PVC hook-up wire, purple, 30 m reel; prices per reel ex GST ($98.33 inc GST); breaks 50+ $88.29, 250+ $72.69. Qty per kit in metres. Alternative: Alpha 1561 VI005 (RS 277-8041, 100 ft); AUD price not read.</t>
  </si>
  <si>
    <t xml:space="preserve">ADA2988</t>
  </si>
  <si>
    <t xml:space="preserve">4 local, 37 more in 8-12 days</t>
  </si>
  <si>
    <t xml:space="preserve">https://core-electronics.com.au/solid-core-wire-spool-25ft-22awg-green.html</t>
  </si>
  <si>
    <t xml:space="preserve">Adafruit solid-core wire spool, 25 ft, 22 AWG, green. $8.35 inc GST; breaks 10+ 7.36, 50+ 7.21 ex GST. Recorded ex GST.</t>
  </si>
  <si>
    <t xml:space="preserve">Adafruit 4090 (ADA4090)</t>
  </si>
  <si>
    <t xml:space="preserve">none local; supplier lead time</t>
  </si>
  <si>
    <t xml:space="preserve">https://core-electronics.com.au/catalog/product/view/sku/ADA4090</t>
  </si>
  <si>
    <t xml:space="preserve">USB-C downstream breakout; two 5.1 kOhm CC resistors ask the source for 5 V at up to 1.5 A; 8-pin 0.1 in header (GND, VBUS, SBU2, CC1, D-, D+, SBU1, CC2). $5.40 inc GST. Recorded ex GST.</t>
  </si>
  <si>
    <t xml:space="preserve">517-6770 / MPN RUEF110</t>
  </si>
  <si>
    <t xml:space="preserve">1 pack of 10 in stock; more from 23 and 30 Oct 2026</t>
  </si>
  <si>
    <t xml:space="preserve">https://au.rs-online.com/web/p/resettable-fuses/5176770</t>
  </si>
  <si>
    <t xml:space="preserve">Littelfuse RUEF110, 1.1 A hold, 30 V radial; pack of 10, prices per pack ex GST ($6.09 inc GST); break 150+ units = $5.49/pack. Not on preferred list; Mouser/DigiKey AU pages did not return price.</t>
  </si>
  <si>
    <t xml:space="preserve">1345960 / MPN RXEF110</t>
  </si>
  <si>
    <t xml:space="preserve">5,019 (UK) + 2,000 incoming</t>
  </si>
  <si>
    <t xml:space="preserve">https://au.element14.com/littelfuse/rxef110/polyswitch-radial-1-1a/dp/1345960</t>
  </si>
  <si>
    <t xml:space="preserve">Littelfuse PolySwitch RXEF110, 1.1 A hold, 72 V, radial. Min 1. Bourns MF-R110 (9350462) also $0.581 ex at 5+. element14 AU per-unit price ex GST (page also shows incl GST = +10%); ships from UK stock 3-5 business days.</t>
  </si>
  <si>
    <t xml:space="preserve">Raspberry Pi 4 PSU USB-C 5.1V 3A white (CE06427)</t>
  </si>
  <si>
    <t xml:space="preserve">223</t>
  </si>
  <si>
    <t xml:space="preserve">https://core-electronics.com.au/raspberry-pi-4-official-power-supply-usb-c-5v-15w-white.html</t>
  </si>
  <si>
    <t xml:space="preserve">RCM approved; plug type not stated on page. No breaks.</t>
  </si>
  <si>
    <t xml:space="preserve">Raspberry Pi SC0523 (358-SC0523)</t>
  </si>
  <si>
    <t xml:space="preserve">183</t>
  </si>
  <si>
    <t xml:space="preserve">https://au.mouser.com/c/?q=raspberry%20pi%2015W%20USB-C%20power%20supply%20AU</t>
  </si>
  <si>
    <t xml:space="preserve">Mouser page states no GST treatment; treated as ex GST. 15 W USB-C (5.1 V 3 A) AU plug, white. Black SC0219 247 stock $11.60. Only q1 shown.</t>
  </si>
  <si>
    <t xml:space="preserve">CE05101</t>
  </si>
  <si>
    <t xml:space="preserve">262 local</t>
  </si>
  <si>
    <t xml:space="preserve">https://core-electronics.com.au/nano-v3-0-board.html</t>
  </si>
  <si>
    <t xml:space="preserve">Nano V3.0 compatible, ATmega328, Mini-B USB, 5 V. $6.55 inc GST. Core Electronics: q1 and breaks recorded ex GST (page shows q1 inc GST as well).</t>
  </si>
  <si>
    <t xml:space="preserve">XC4414</t>
  </si>
  <si>
    <t xml:space="preserve">https://jaycar.com.au/p/XC4414</t>
  </si>
  <si>
    <t xml:space="preserve">Duinotech Arduino-compatible Nano, ATmega328. Tiers 5 $42.95, 6+ $37.95. GST not stated (treated as incl.). Cheaper alt: Wiltronics ARD2-0005 CH340G $12.95 incl GST (10+ $11.10).</t>
  </si>
  <si>
    <t xml:space="preserve">SN74HC595N (SparkFun COM-13699, DIP-16)</t>
  </si>
  <si>
    <t xml:space="preserve">2 from local stock plus supplier stock</t>
  </si>
  <si>
    <t xml:space="preserve">https://core-electronics.com.au/shift-register-8-bit-sn74hc595.html</t>
  </si>
  <si>
    <t xml:space="preserve">Core prices GST inclusive (site FAQ). No qty breaks shown. Only 2 held locally.</t>
  </si>
  <si>
    <t xml:space="preserve">SN74HC595N (TI, PDIP-16)</t>
  </si>
  <si>
    <t xml:space="preserve">8,414 in stock</t>
  </si>
  <si>
    <t xml:space="preserve">https://au.mouser.com/en/ProductDetail/Texas-Instruments/SN74HC595N?qs=IEl3ej0IqwBTHkYa8XPoMQ%3D%3D</t>
  </si>
  <si>
    <t xml:space="preserve">Item</t>
  </si>
  <si>
    <t xml:space="preserve">Risk</t>
  </si>
  <si>
    <t xml:space="preserve">Action</t>
  </si>
  <si>
    <t xml:space="preserve">74HCT throughout</t>
  </si>
  <si>
    <t xml:space="preserve">PC-2 uses 74HCT logic: its inputs read the EEPROM, RAM and 555 outputs correctly (74HC needs 3.15 V, which those outputs do not guarantee).</t>
  </si>
  <si>
    <t xml:space="preserve">Buy 74HCT. 74HC283 is acceptable in the two adder sockets only.</t>
  </si>
  <si>
    <t xml:space="preserve">Mouser-only parts</t>
  </si>
  <si>
    <t xml:space="preserve">74HCT86, 74HCT107, 74HCT139, 74HCT161, 74HCT174, 74HCT283 and 74HCT377 were found in DIP only at Mouser.</t>
  </si>
  <si>
    <t xml:space="preserve">Order these early; check DigiKey and Altronics by hand (both blocked automated checks).</t>
  </si>
  <si>
    <t xml:space="preserve">74HCT107 end of life</t>
  </si>
  <si>
    <t xml:space="preserve">Marked end of life by the maker.</t>
  </si>
  <si>
    <t xml:space="preserve">Buy enough for planned kits now; the display counter could also use a 74HCT74 with a redesign.</t>
  </si>
  <si>
    <t xml:space="preserve">Stock for 100 kits</t>
  </si>
  <si>
    <t xml:space="preserve">74HCT157 (Mouser 233 vs 200 needed), 74HCT245 (900 needed), blue LEDs and wire sets were short at single shops.</t>
  </si>
  <si>
    <t xml:space="preserve">Split orders across suppliers; re-check stock before a batch.</t>
  </si>
  <si>
    <t xml:space="preserve">Jaycar 74HC lines</t>
  </si>
  <si>
    <t xml:space="preserve">Several are marked Clearance, so Jaycar may stop stocking them.</t>
  </si>
  <si>
    <t xml:space="preserve">Treat Jaycar as a backup, not the main source.</t>
  </si>
  <si>
    <t xml:space="preserve">GST</t>
  </si>
  <si>
    <t xml:space="preserve">Mouser and Jaycar pages do not state GST; assumptions are on the Assumptions sheet.</t>
  </si>
  <si>
    <t xml:space="preserve">Confirm at checkout on the prototype order.</t>
  </si>
  <si>
    <t xml:space="preserve">Core Electronics 1 kΩ resistor pack</t>
  </si>
  <si>
    <t xml:space="preserve">Out of stock on the day.</t>
  </si>
  <si>
    <t xml:space="preserve">element14 single resistors are cheaper anyway.</t>
  </si>
  <si>
    <t xml:space="preserve">Wire</t>
  </si>
  <si>
    <t xml:space="preserve">The Altronics wire is 24 AWG and is excluded from costing. Three SparkFun boxes hold 22.9 m of each colour (red, black, yellow, blue, green, white). PC-2 needs about 21.6 m of yellow (bus), 32 m of green (data), 4.7 m of purple, 3.8 m of orange and 3.0 m of pink (clock). No Australian supplier was found for pink solid-core 22 AWG wire, so the kit's white is used for the clock wires (the book says so on p. 29, in Table 1.4 and in Appendix C).</t>
  </si>
  <si>
    <t xml:space="preserve">Add W02 (orange spool), W03 (5 m of purple cut from a 30 m RS reel) and W04 (two green spools). Cut the yellow and green wires from the cutting list first.</t>
  </si>
  <si>
    <t xml:space="preserve">Purple wire price</t>
  </si>
  <si>
    <t xml:space="preserve">The purple reel (RS 842-5387, Alpha Wire 3051/1 VI005, $89.39 ex GST for 30 m) is the only Australian solid-core 22 AWG purple found; one reel covers six kits. The cheaper Alpha 1561 VI005 (RS 277-8041, 100 ft) has no AUD price on record.</t>
  </si>
  <si>
    <t xml:space="preserve">Price to confirm: check RS 277-8041 and the Adafruit 2990 violet spool before the prototype order.</t>
  </si>
  <si>
    <t xml:space="preserve">Kit prep: J1 header</t>
  </si>
  <si>
    <t xml:space="preserve">The Adafruit 4090 USB-C breakout is sold with its 8-pin header loose; the book has no soldering before Chapter 11.</t>
  </si>
  <si>
    <t xml:space="preserve">Kit preparation: solder the header to each J1 before packing (pins down, component side up), and test VBUS-GND with a USB-C supply. The book says J1 comes with its pins fitted.</t>
  </si>
  <si>
    <t xml:space="preserve">Orange wire stock</t>
  </si>
  <si>
    <t xml:space="preserve">The orange spool (Core ADA2986) was out of stock on the day.</t>
  </si>
  <si>
    <t xml:space="preserve">Order early or buy from another Adafruit reseller.</t>
  </si>
  <si>
    <t xml:space="preserve">Power entry</t>
  </si>
  <si>
    <t xml:space="preserve">The kit no longer uses the Jaycar XC5418 module (rated 500 mA; PC-2 can draw about 0.55-0.6 A). The Adafruit 4090 breakout was out of stock locally at Core on the day (supplier lead time).</t>
  </si>
  <si>
    <t xml:space="preserve">Order the breakout early, or use any USB-C breakout with 5.1 kOhm CC resistors and a 0.1 in header.</t>
  </si>
  <si>
    <t xml:space="preserve">Stock depth at tier 3</t>
  </si>
  <si>
    <t xml:space="preserve">Some cheapest picks cannot cover 100 kits from stock on the day: Core holds 2 of the 74HC595 and 5 of the 6 mm tactile 20-pack locally, and Jaycar clearance lines (74HC138, 74HC139, 74HC157) may sell out.</t>
  </si>
  <si>
    <t xml:space="preserve">Before a 100-kit order, re-run the pricing against stock and switch those lines to Mouser or element14.</t>
  </si>
  <si>
    <t xml:space="preserve">EEPROMs</t>
  </si>
  <si>
    <t xml:space="preserve">Four AT28C256 EEPROMs are about a fifth of the tier 1 kit cost.</t>
  </si>
  <si>
    <t xml:space="preserve">Keep; they are in stock at two suppliers. Price them again at order time.</t>
  </si>
  <si>
    <t xml:space="preserve">Freight</t>
  </si>
  <si>
    <t xml:space="preserve">Not included. Several suppliers ship free over a threshold; Mouser and element14 often from overseas warehouses.</t>
  </si>
  <si>
    <t xml:space="preserve">Add freight per order when placing the prototype order.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</si>
</sst>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\$#,##0.00;&quot;($&quot;#,##0.00\);\-"/>
    <numFmt numFmtId="167" formatCode="0%"/>
    <numFmt numFmtId="168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au.mouser.com/c/?q=CD74HCT00E" TargetMode="External"/><Relationship Id="rId2" Type="http://schemas.openxmlformats.org/officeDocument/2006/relationships/hyperlink" Target="https://www.wiltronics.com.au/product/317/74hct00-quad-2-input-nand-gate-4/" TargetMode="External"/><Relationship Id="rId3" Type="http://schemas.openxmlformats.org/officeDocument/2006/relationships/hyperlink" Target="https://au.mouser.com/c/?q=CD74HCT02E" TargetMode="External"/><Relationship Id="rId4" Type="http://schemas.openxmlformats.org/officeDocument/2006/relationships/hyperlink" Target="https://www.wiltronics.com.au/product/3759/74hct02-quad-2-input-positive-nor-gate/" TargetMode="External"/><Relationship Id="rId5" Type="http://schemas.openxmlformats.org/officeDocument/2006/relationships/hyperlink" Target="https://au.mouser.com/c/?q=CD74HCT04E" TargetMode="External"/><Relationship Id="rId6" Type="http://schemas.openxmlformats.org/officeDocument/2006/relationships/hyperlink" Target="https://www.wiltronics.com.au/product/320/74hct04-hex-inverter-3/" TargetMode="External"/><Relationship Id="rId7" Type="http://schemas.openxmlformats.org/officeDocument/2006/relationships/hyperlink" Target="https://core-electronics.com.au/74hct08-quad-2-input-and-gate.html" TargetMode="External"/><Relationship Id="rId8" Type="http://schemas.openxmlformats.org/officeDocument/2006/relationships/hyperlink" Target="https://au.mouser.com/c/?q=CD74HCT08E" TargetMode="External"/><Relationship Id="rId9" Type="http://schemas.openxmlformats.org/officeDocument/2006/relationships/hyperlink" Target="https://au.element14.com/w/search?st=SN74HCT08N" TargetMode="External"/><Relationship Id="rId10" Type="http://schemas.openxmlformats.org/officeDocument/2006/relationships/hyperlink" Target="https://au.mouser.com/c/?q=CD74HCT32E" TargetMode="External"/><Relationship Id="rId11" Type="http://schemas.openxmlformats.org/officeDocument/2006/relationships/hyperlink" Target="https://wiltronics.com.au/?p=335" TargetMode="External"/><Relationship Id="rId12" Type="http://schemas.openxmlformats.org/officeDocument/2006/relationships/hyperlink" Target="https://au.element14.com/w/search?st=SN74HCT32N" TargetMode="External"/><Relationship Id="rId13" Type="http://schemas.openxmlformats.org/officeDocument/2006/relationships/hyperlink" Target="https://au.mouser.com/c/?q=CD74HCT86E" TargetMode="External"/><Relationship Id="rId14" Type="http://schemas.openxmlformats.org/officeDocument/2006/relationships/hyperlink" Target="https://au.element14.com/w/search?st=CD74HCT86E" TargetMode="External"/><Relationship Id="rId15" Type="http://schemas.openxmlformats.org/officeDocument/2006/relationships/hyperlink" Target="https://au.mouser.com/ProductDetail/595-CD74HCT107E" TargetMode="External"/><Relationship Id="rId16" Type="http://schemas.openxmlformats.org/officeDocument/2006/relationships/hyperlink" Target="https://au.element14.com/w/search?st=CD74HCT107E" TargetMode="External"/><Relationship Id="rId17" Type="http://schemas.openxmlformats.org/officeDocument/2006/relationships/hyperlink" Target="https://au.mouser.com/c/?q=CD74HCT138E" TargetMode="External"/><Relationship Id="rId18" Type="http://schemas.openxmlformats.org/officeDocument/2006/relationships/hyperlink" Target="https://www.wiltronics.com.au/product/321/74hct138-expandable-38-decoder-2/" TargetMode="External"/><Relationship Id="rId19" Type="http://schemas.openxmlformats.org/officeDocument/2006/relationships/hyperlink" Target="https://au.mouser.com/c/?q=CD74HCT139E" TargetMode="External"/><Relationship Id="rId20" Type="http://schemas.openxmlformats.org/officeDocument/2006/relationships/hyperlink" Target="https://au.element14.com/w/search?st=CD74HCT139E" TargetMode="External"/><Relationship Id="rId21" Type="http://schemas.openxmlformats.org/officeDocument/2006/relationships/hyperlink" Target="https://au.mouser.com/c/?q=CD74HCT157E" TargetMode="External"/><Relationship Id="rId22" Type="http://schemas.openxmlformats.org/officeDocument/2006/relationships/hyperlink" Target="https://au.element14.com/w/search?st=SN74HCT157N" TargetMode="External"/><Relationship Id="rId23" Type="http://schemas.openxmlformats.org/officeDocument/2006/relationships/hyperlink" Target="https://au.mouser.com/c/?q=CD74HCT161E" TargetMode="External"/><Relationship Id="rId24" Type="http://schemas.openxmlformats.org/officeDocument/2006/relationships/hyperlink" Target="https://au.element14.com/w/search?st=CD74HCT161E" TargetMode="External"/><Relationship Id="rId25" Type="http://schemas.openxmlformats.org/officeDocument/2006/relationships/hyperlink" Target="https://au.mouser.com/c/?q=CD74HCT173E" TargetMode="External"/><Relationship Id="rId26" Type="http://schemas.openxmlformats.org/officeDocument/2006/relationships/hyperlink" Target="https://www.wiltronics.com.au/product/329/74hct173-tri-state-quad-d-flipflop/" TargetMode="External"/><Relationship Id="rId27" Type="http://schemas.openxmlformats.org/officeDocument/2006/relationships/hyperlink" Target="https://au.mouser.com/c/?q=CD74HCT174E" TargetMode="External"/><Relationship Id="rId28" Type="http://schemas.openxmlformats.org/officeDocument/2006/relationships/hyperlink" Target="https://au.element14.com/w/search?st=CD74HCT174E" TargetMode="External"/><Relationship Id="rId29" Type="http://schemas.openxmlformats.org/officeDocument/2006/relationships/hyperlink" Target="https://au.mouser.com/ProductDetail/595-CD74HCT245E" TargetMode="External"/><Relationship Id="rId30" Type="http://schemas.openxmlformats.org/officeDocument/2006/relationships/hyperlink" Target="https://au.element14.com/w/search?st=SN74HCT245N" TargetMode="External"/><Relationship Id="rId31" Type="http://schemas.openxmlformats.org/officeDocument/2006/relationships/hyperlink" Target="https://au.mouser.com/c/?q=74HCT283" TargetMode="External"/><Relationship Id="rId32" Type="http://schemas.openxmlformats.org/officeDocument/2006/relationships/hyperlink" Target="https://au.mouser.com/ProductDetail/595-CD74HC283E" TargetMode="External"/><Relationship Id="rId33" Type="http://schemas.openxmlformats.org/officeDocument/2006/relationships/hyperlink" Target="https://au.element14.com/w/search?st=CD74HC283E" TargetMode="External"/><Relationship Id="rId34" Type="http://schemas.openxmlformats.org/officeDocument/2006/relationships/hyperlink" Target="https://au.mouser.com/c/?q=74HCT377" TargetMode="External"/><Relationship Id="rId35" Type="http://schemas.openxmlformats.org/officeDocument/2006/relationships/hyperlink" Target="https://au.element14.com/w/search?st=CD74HCT377E" TargetMode="External"/><Relationship Id="rId36" Type="http://schemas.openxmlformats.org/officeDocument/2006/relationships/hyperlink" Target="https://core-electronics.com.au/555-timer-general-purpose-timer-ic.html" TargetMode="External"/><Relationship Id="rId37" Type="http://schemas.openxmlformats.org/officeDocument/2006/relationships/hyperlink" Target="https://au.mouser.com/en/ProductDetail/Texas-Instruments/NE555P?qs=rkhjVJ6%2F3EIf4CWgjIKuKQ%3D%3D" TargetMode="External"/><Relationship Id="rId38" Type="http://schemas.openxmlformats.org/officeDocument/2006/relationships/hyperlink" Target="https://au.mouser.com/ProductDetail/913-AS6C62256-55PCN" TargetMode="External"/><Relationship Id="rId39" Type="http://schemas.openxmlformats.org/officeDocument/2006/relationships/hyperlink" Target="https://au.element14.com/alliance-memory-inc/as6c62256-55pcn/sram-256kbit-0-to-70deg-c-dip/dp/4260906" TargetMode="External"/><Relationship Id="rId40" Type="http://schemas.openxmlformats.org/officeDocument/2006/relationships/hyperlink" Target="https://au.mouser.com/ProductDetail/556-AT28C25615PU" TargetMode="External"/><Relationship Id="rId41" Type="http://schemas.openxmlformats.org/officeDocument/2006/relationships/hyperlink" Target="https://au.element14.com/microchip/at28c256-15pu/parallel-eeprom-256kbit-dip-28/dp/1095782" TargetMode="External"/><Relationship Id="rId42" Type="http://schemas.openxmlformats.org/officeDocument/2006/relationships/hyperlink" Target="https://au.mouser.com/c/?q=2N3906" TargetMode="External"/><Relationship Id="rId43" Type="http://schemas.openxmlformats.org/officeDocument/2006/relationships/hyperlink" Target="https://au.element14.com/w/search?st=2N3906BU" TargetMode="External"/><Relationship Id="rId44" Type="http://schemas.openxmlformats.org/officeDocument/2006/relationships/hyperlink" Target="https://au.mouser.com/c/?q=SA56-11EWA" TargetMode="External"/><Relationship Id="rId45" Type="http://schemas.openxmlformats.org/officeDocument/2006/relationships/hyperlink" Target="https://au.element14.com/w/search?st=SA56-11EWA" TargetMode="External"/><Relationship Id="rId46" Type="http://schemas.openxmlformats.org/officeDocument/2006/relationships/hyperlink" Target="https://core-electronics.com.au/led-basic-red-3mm.html" TargetMode="External"/><Relationship Id="rId47" Type="http://schemas.openxmlformats.org/officeDocument/2006/relationships/hyperlink" Target="https://au.element14.com/multicomp-pro/703-0090/led-3mm-red-100mcd-643nm/dp/2112100" TargetMode="External"/><Relationship Id="rId48" Type="http://schemas.openxmlformats.org/officeDocument/2006/relationships/hyperlink" Target="https://core-electronics.com.au/led-basic-green-3mm.html" TargetMode="External"/><Relationship Id="rId49" Type="http://schemas.openxmlformats.org/officeDocument/2006/relationships/hyperlink" Target="https://au.element14.com/multicomp/703-0087/led-green-3mm-572nm-standard/dp/2112096" TargetMode="External"/><Relationship Id="rId50" Type="http://schemas.openxmlformats.org/officeDocument/2006/relationships/hyperlink" Target="https://core-electronics.com.au/led-basic-yellow-3mm.html" TargetMode="External"/><Relationship Id="rId51" Type="http://schemas.openxmlformats.org/officeDocument/2006/relationships/hyperlink" Target="https://au.element14.com/multicomp-pro/703-0088/led-3mm-yellow-50mcd-590nm/dp/2112098" TargetMode="External"/><Relationship Id="rId52" Type="http://schemas.openxmlformats.org/officeDocument/2006/relationships/hyperlink" Target="https://core-electronics.com.au/diffused-blue-3mm-led-25-pack.html" TargetMode="External"/><Relationship Id="rId53" Type="http://schemas.openxmlformats.org/officeDocument/2006/relationships/hyperlink" Target="https://au.mouser.com/c/?q=WP710A10QBC" TargetMode="External"/><Relationship Id="rId54" Type="http://schemas.openxmlformats.org/officeDocument/2006/relationships/hyperlink" Target="https://core-electronics.com.au/through-hole-resistors-1-0k-ohm-5-1-4w-pack-of-25.html" TargetMode="External"/><Relationship Id="rId55" Type="http://schemas.openxmlformats.org/officeDocument/2006/relationships/hyperlink" Target="https://au.element14.com/multicomp-pro/mcf-0-25w-1k/res-1k-5-250mw-axial-carbon-film/dp/9339051" TargetMode="External"/><Relationship Id="rId56" Type="http://schemas.openxmlformats.org/officeDocument/2006/relationships/hyperlink" Target="https://au.mouser.com/c/?q=MFR-25FBF52-2K2" TargetMode="External"/><Relationship Id="rId57" Type="http://schemas.openxmlformats.org/officeDocument/2006/relationships/hyperlink" Target="https://au.element14.com/w/search?st=MFR-25FBF52-2K2" TargetMode="External"/><Relationship Id="rId58" Type="http://schemas.openxmlformats.org/officeDocument/2006/relationships/hyperlink" Target="https://core-electronics.com.au/resistor-10k-ohm-025-watt-pth.html" TargetMode="External"/><Relationship Id="rId59" Type="http://schemas.openxmlformats.org/officeDocument/2006/relationships/hyperlink" Target="https://au.element14.com/multicomp-pro/mcf-0-25w-10k/res-10k-5-250mw-axial-carbon-film/dp/9339060" TargetMode="External"/><Relationship Id="rId60" Type="http://schemas.openxmlformats.org/officeDocument/2006/relationships/hyperlink" Target="https://au.mouser.com/c/?q=MFR-25FBF52-100K" TargetMode="External"/><Relationship Id="rId61" Type="http://schemas.openxmlformats.org/officeDocument/2006/relationships/hyperlink" Target="https://au.element14.com/w/search?st=MFR-25FBF52-100K" TargetMode="External"/><Relationship Id="rId62" Type="http://schemas.openxmlformats.org/officeDocument/2006/relationships/hyperlink" Target="https://au.mouser.com/c/?q=MFR-25FBF52-470R" TargetMode="External"/><Relationship Id="rId63" Type="http://schemas.openxmlformats.org/officeDocument/2006/relationships/hyperlink" Target="https://au.element14.com/w/search?st=MFR-25FTE52-470R" TargetMode="External"/><Relationship Id="rId64" Type="http://schemas.openxmlformats.org/officeDocument/2006/relationships/hyperlink" Target="https://au.mouser.com/c/?q=4609X-101-103LF" TargetMode="External"/><Relationship Id="rId65" Type="http://schemas.openxmlformats.org/officeDocument/2006/relationships/hyperlink" Target="https://au.element14.com/w/search?st=4609X-101-103LF" TargetMode="External"/><Relationship Id="rId66" Type="http://schemas.openxmlformats.org/officeDocument/2006/relationships/hyperlink" Target="https://au.mouser.com/c/?q=4605X-101-103LF" TargetMode="External"/><Relationship Id="rId67" Type="http://schemas.openxmlformats.org/officeDocument/2006/relationships/hyperlink" Target="https://au.element14.com/w/search?st=4605X-101-103LF" TargetMode="External"/><Relationship Id="rId68" Type="http://schemas.openxmlformats.org/officeDocument/2006/relationships/hyperlink" Target="https://core-electronics.com.au/100nf-ceramic-disc-capacitor.html" TargetMode="External"/><Relationship Id="rId69" Type="http://schemas.openxmlformats.org/officeDocument/2006/relationships/hyperlink" Target="https://jaycar.com.au/p/RC5496" TargetMode="External"/><Relationship Id="rId70" Type="http://schemas.openxmlformats.org/officeDocument/2006/relationships/hyperlink" Target="https://au.mouser.com/c/?q=K103K15X7RF5TL2" TargetMode="External"/><Relationship Id="rId71" Type="http://schemas.openxmlformats.org/officeDocument/2006/relationships/hyperlink" Target="https://au.element14.com/w/search?st=K103K15X7RF5TL2" TargetMode="External"/><Relationship Id="rId72" Type="http://schemas.openxmlformats.org/officeDocument/2006/relationships/hyperlink" Target="https://core-electronics.com.au/radial-capacitor-1uf.html" TargetMode="External"/><Relationship Id="rId73" Type="http://schemas.openxmlformats.org/officeDocument/2006/relationships/hyperlink" Target="https://jaycar.com.au/p/RE6032" TargetMode="External"/><Relationship Id="rId74" Type="http://schemas.openxmlformats.org/officeDocument/2006/relationships/hyperlink" Target="https://core-electronics.com.au/electrolytic-decoupling-capacitors-10uf-25v.html" TargetMode="External"/><Relationship Id="rId75" Type="http://schemas.openxmlformats.org/officeDocument/2006/relationships/hyperlink" Target="https://jaycar.com.au/p/RE6066" TargetMode="External"/><Relationship Id="rId76" Type="http://schemas.openxmlformats.org/officeDocument/2006/relationships/hyperlink" Target="https://core-electronics.com.au/radial-capacitor-100uf.html" TargetMode="External"/><Relationship Id="rId77" Type="http://schemas.openxmlformats.org/officeDocument/2006/relationships/hyperlink" Target="https://jaycar.com.au/p/RE6130" TargetMode="External"/><Relationship Id="rId78" Type="http://schemas.openxmlformats.org/officeDocument/2006/relationships/hyperlink" Target="https://www.altronics.com.au/search/all/?sr=R2230" TargetMode="External"/><Relationship Id="rId79" Type="http://schemas.openxmlformats.org/officeDocument/2006/relationships/hyperlink" Target="https://jaycar.com.au/1m-ohm-linear-b-single-gang-16mm-potentiometer/p/RP7524" TargetMode="External"/><Relationship Id="rId80" Type="http://schemas.openxmlformats.org/officeDocument/2006/relationships/hyperlink" Target="https://core-electronics.com.au/male-pin-header-2-54mm-1x40.html" TargetMode="External"/><Relationship Id="rId81" Type="http://schemas.openxmlformats.org/officeDocument/2006/relationships/hyperlink" Target="https://au.mouser.com/ProductDetail/649-68000-103HLF" TargetMode="External"/><Relationship Id="rId82" Type="http://schemas.openxmlformats.org/officeDocument/2006/relationships/hyperlink" Target="https://core-electronics.com.au/tactile-button-switch-6mm-x-20-pack.html" TargetMode="External"/><Relationship Id="rId83" Type="http://schemas.openxmlformats.org/officeDocument/2006/relationships/hyperlink" Target="https://jaycar.com.au/p/SP0603" TargetMode="External"/><Relationship Id="rId84" Type="http://schemas.openxmlformats.org/officeDocument/2006/relationships/hyperlink" Target="https://core-electronics.com.au/breadboard-friendly-spdt-slide-switch.html" TargetMode="External"/><Relationship Id="rId85" Type="http://schemas.openxmlformats.org/officeDocument/2006/relationships/hyperlink" Target="https://jaycar.com.au/p/SS0834" TargetMode="External"/><Relationship Id="rId86" Type="http://schemas.openxmlformats.org/officeDocument/2006/relationships/hyperlink" Target="https://core-electronics.com.au/dip-switch-8-position.html" TargetMode="External"/><Relationship Id="rId87" Type="http://schemas.openxmlformats.org/officeDocument/2006/relationships/hyperlink" Target="https://jaycar.com.au/p/SM1024" TargetMode="External"/><Relationship Id="rId88" Type="http://schemas.openxmlformats.org/officeDocument/2006/relationships/hyperlink" Target="https://jaycar.com.au/p/SM1020" TargetMode="External"/><Relationship Id="rId89" Type="http://schemas.openxmlformats.org/officeDocument/2006/relationships/hyperlink" Target="https://www.wiltronics.com.au/product/3336/4-way-dil-switch/" TargetMode="External"/><Relationship Id="rId90" Type="http://schemas.openxmlformats.org/officeDocument/2006/relationships/hyperlink" Target="https://core-electronics.com.au/solderless-breadboard-830-tie-point-zy-102.html" TargetMode="External"/><Relationship Id="rId91" Type="http://schemas.openxmlformats.org/officeDocument/2006/relationships/hyperlink" Target="https://jaycar.com.au/p/PB8815" TargetMode="External"/><Relationship Id="rId92" Type="http://schemas.openxmlformats.org/officeDocument/2006/relationships/hyperlink" Target="https://www.altronics.com.au/product/w2430-solid-core-05mm-6-colour-hobby-wire-pack" TargetMode="External"/><Relationship Id="rId93" Type="http://schemas.openxmlformats.org/officeDocument/2006/relationships/hyperlink" Target="https://core-electronics.com.au/hook-up-wire-assortment-solid-core-22-awg.html" TargetMode="External"/><Relationship Id="rId94" Type="http://schemas.openxmlformats.org/officeDocument/2006/relationships/hyperlink" Target="https://core-electronics.com.au/solid-core-wire-spool-25ft-22awg-orange.html" TargetMode="External"/><Relationship Id="rId95" Type="http://schemas.openxmlformats.org/officeDocument/2006/relationships/hyperlink" Target="https://au.rs-online.com/web/p/hook-up-wire/8425387" TargetMode="External"/><Relationship Id="rId96" Type="http://schemas.openxmlformats.org/officeDocument/2006/relationships/hyperlink" Target="https://core-electronics.com.au/solid-core-wire-spool-25ft-22awg-green.html" TargetMode="External"/><Relationship Id="rId97" Type="http://schemas.openxmlformats.org/officeDocument/2006/relationships/hyperlink" Target="https://core-electronics.com.au/catalog/product/view/sku/ADA4090" TargetMode="External"/><Relationship Id="rId98" Type="http://schemas.openxmlformats.org/officeDocument/2006/relationships/hyperlink" Target="https://au.rs-online.com/web/p/resettable-fuses/5176770" TargetMode="External"/><Relationship Id="rId99" Type="http://schemas.openxmlformats.org/officeDocument/2006/relationships/hyperlink" Target="https://au.element14.com/littelfuse/rxef110/polyswitch-radial-1-1a/dp/1345960" TargetMode="External"/><Relationship Id="rId100" Type="http://schemas.openxmlformats.org/officeDocument/2006/relationships/hyperlink" Target="https://core-electronics.com.au/raspberry-pi-4-official-power-supply-usb-c-5v-15w-white.html" TargetMode="External"/><Relationship Id="rId101" Type="http://schemas.openxmlformats.org/officeDocument/2006/relationships/hyperlink" Target="https://au.mouser.com/c/?q=raspberry%20pi%2015W%20USB-C%20power%20supply%20AU" TargetMode="External"/><Relationship Id="rId102" Type="http://schemas.openxmlformats.org/officeDocument/2006/relationships/hyperlink" Target="https://core-electronics.com.au/nano-v3-0-board.html" TargetMode="External"/><Relationship Id="rId103" Type="http://schemas.openxmlformats.org/officeDocument/2006/relationships/hyperlink" Target="https://jaycar.com.au/p/XC4414" TargetMode="External"/><Relationship Id="rId104" Type="http://schemas.openxmlformats.org/officeDocument/2006/relationships/hyperlink" Target="https://core-electronics.com.au/shift-register-8-bit-sn74hc595.html" TargetMode="External"/><Relationship Id="rId105" Type="http://schemas.openxmlformats.org/officeDocument/2006/relationships/hyperlink" Target="https://au.mouser.com/en/ProductDetail/Texas-Instruments/SN74HC595N?qs=IEl3ej0IqwBTHkYa8XPoMQ%3D%3D" TargetMode="External"/><Relationship Id="rId106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4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  <c r="D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Assumptions!$B$4</f>
        <v>1</v>
      </c>
      <c r="C5" s="5" t="n">
        <f aca="false">Assumptions!$B$5</f>
        <v>10</v>
      </c>
      <c r="D5" s="5" t="n">
        <f aca="false">Assumptions!$B$6</f>
        <v>100</v>
      </c>
    </row>
    <row r="6" customFormat="false" ht="15" hidden="false" customHeight="false" outlineLevel="0" collapsed="false">
      <c r="A6" s="4" t="s">
        <v>6</v>
      </c>
      <c r="B6" s="6" t="n">
        <f aca="false">BOM!H55</f>
        <v>655.3066</v>
      </c>
      <c r="C6" s="6" t="n">
        <f aca="false">BOM!I55</f>
        <v>509.5845</v>
      </c>
      <c r="D6" s="6" t="n">
        <f aca="false">BOM!J55</f>
        <v>478.27793</v>
      </c>
    </row>
    <row r="7" customFormat="false" ht="15" hidden="false" customHeight="false" outlineLevel="0" collapsed="false">
      <c r="A7" s="4" t="s">
        <v>7</v>
      </c>
      <c r="B7" s="7" t="n">
        <f aca="false">B6*B5</f>
        <v>655.3066</v>
      </c>
      <c r="C7" s="7" t="n">
        <f aca="false">C6*C5</f>
        <v>5095.845</v>
      </c>
      <c r="D7" s="7" t="n">
        <f aca="false">D6*D5</f>
        <v>47827.793</v>
      </c>
    </row>
    <row r="8" customFormat="false" ht="15" hidden="false" customHeight="false" outlineLevel="0" collapsed="false">
      <c r="A8" s="4" t="s">
        <v>8</v>
      </c>
      <c r="B8" s="8" t="n">
        <f aca="false">COUNTIF(BOM!G2:G54,1)</f>
        <v>11</v>
      </c>
    </row>
    <row r="9" customFormat="false" ht="15" hidden="false" customHeight="false" outlineLevel="0" collapsed="false">
      <c r="A9" s="4" t="s">
        <v>9</v>
      </c>
      <c r="B9" s="8" t="n">
        <f aca="false">COUNTIF(BOM!G2:G54,0)</f>
        <v>0</v>
      </c>
    </row>
    <row r="11" customFormat="false" ht="15" hidden="false" customHeight="false" outlineLevel="0" collapsed="false">
      <c r="A11" s="4" t="s">
        <v>10</v>
      </c>
    </row>
    <row r="12" customFormat="false" ht="15" hidden="false" customHeight="false" outlineLevel="0" collapsed="false">
      <c r="A12" s="3" t="s">
        <v>11</v>
      </c>
      <c r="B12" s="3" t="s">
        <v>2</v>
      </c>
      <c r="C12" s="3" t="s">
        <v>3</v>
      </c>
      <c r="D12" s="3" t="s">
        <v>4</v>
      </c>
    </row>
    <row r="13" customFormat="false" ht="15" hidden="false" customHeight="false" outlineLevel="0" collapsed="false">
      <c r="A13" s="8" t="s">
        <v>12</v>
      </c>
      <c r="B13" s="7" t="n">
        <f aca="false">SUMIFS(BOM!H2:H54,BOM!B2:B54,$A13)</f>
        <v>60.031</v>
      </c>
      <c r="C13" s="7" t="n">
        <f aca="false">SUMIFS(BOM!I2:I54,BOM!B2:B54,$A13)</f>
        <v>42.7365</v>
      </c>
      <c r="D13" s="7" t="n">
        <f aca="false">SUMIFS(BOM!J2:J54,BOM!B2:B54,$A13)</f>
        <v>36.4142</v>
      </c>
    </row>
    <row r="14" customFormat="false" ht="15" hidden="false" customHeight="false" outlineLevel="0" collapsed="false">
      <c r="A14" s="8" t="s">
        <v>13</v>
      </c>
      <c r="B14" s="7" t="n">
        <f aca="false">SUMIFS(BOM!H2:H54,BOM!B2:B54,$A14)</f>
        <v>3</v>
      </c>
      <c r="C14" s="7" t="n">
        <f aca="false">SUMIFS(BOM!I2:I54,BOM!B2:B54,$A14)</f>
        <v>2.6224</v>
      </c>
      <c r="D14" s="7" t="n">
        <f aca="false">SUMIFS(BOM!J2:J54,BOM!B2:B54,$A14)</f>
        <v>2.0284</v>
      </c>
    </row>
    <row r="15" customFormat="false" ht="15" hidden="false" customHeight="false" outlineLevel="0" collapsed="false">
      <c r="A15" s="8" t="s">
        <v>14</v>
      </c>
      <c r="B15" s="7" t="n">
        <f aca="false">SUMIFS(BOM!H2:H54,BOM!B2:B54,$A15)</f>
        <v>96.987</v>
      </c>
      <c r="C15" s="7" t="n">
        <f aca="false">SUMIFS(BOM!I2:I54,BOM!B2:B54,$A15)</f>
        <v>92.763</v>
      </c>
      <c r="D15" s="7" t="n">
        <f aca="false">SUMIFS(BOM!J2:J54,BOM!B2:B54,$A15)</f>
        <v>89.771</v>
      </c>
    </row>
    <row r="16" customFormat="false" ht="15" hidden="false" customHeight="false" outlineLevel="0" collapsed="false">
      <c r="A16" s="8" t="s">
        <v>15</v>
      </c>
      <c r="B16" s="7" t="n">
        <f aca="false">SUMIFS(BOM!H2:H54,BOM!B2:B54,$A16)</f>
        <v>1.6588</v>
      </c>
      <c r="C16" s="7" t="n">
        <f aca="false">SUMIFS(BOM!I2:I54,BOM!B2:B54,$A16)</f>
        <v>1.0472</v>
      </c>
      <c r="D16" s="7" t="n">
        <f aca="false">SUMIFS(BOM!J2:J54,BOM!B2:B54,$A16)</f>
        <v>0.6512</v>
      </c>
    </row>
    <row r="17" customFormat="false" ht="15" hidden="false" customHeight="false" outlineLevel="0" collapsed="false">
      <c r="A17" s="8" t="s">
        <v>16</v>
      </c>
      <c r="B17" s="7" t="n">
        <f aca="false">SUMIFS(BOM!H2:H54,BOM!B2:B54,$A17)</f>
        <v>14.564</v>
      </c>
      <c r="C17" s="7" t="n">
        <f aca="false">SUMIFS(BOM!I2:I54,BOM!B2:B54,$A17)</f>
        <v>10.252</v>
      </c>
      <c r="D17" s="7" t="n">
        <f aca="false">SUMIFS(BOM!J2:J54,BOM!B2:B54,$A17)</f>
        <v>7.964</v>
      </c>
    </row>
    <row r="18" customFormat="false" ht="15" hidden="false" customHeight="false" outlineLevel="0" collapsed="false">
      <c r="A18" s="8" t="s">
        <v>17</v>
      </c>
      <c r="B18" s="7" t="n">
        <f aca="false">SUMIFS(BOM!H2:H54,BOM!B2:B54,$A18)</f>
        <v>39.4768</v>
      </c>
      <c r="C18" s="7" t="n">
        <f aca="false">SUMIFS(BOM!I2:I54,BOM!B2:B54,$A18)</f>
        <v>28.985</v>
      </c>
      <c r="D18" s="7" t="n">
        <f aca="false">SUMIFS(BOM!J2:J54,BOM!B2:B54,$A18)</f>
        <v>28.985</v>
      </c>
    </row>
    <row r="19" customFormat="false" ht="15" hidden="false" customHeight="false" outlineLevel="0" collapsed="false">
      <c r="A19" s="8" t="s">
        <v>18</v>
      </c>
      <c r="B19" s="7" t="n">
        <f aca="false">SUMIFS(BOM!H2:H54,BOM!B2:B54,$A19)</f>
        <v>11.3982</v>
      </c>
      <c r="C19" s="7" t="n">
        <f aca="false">SUMIFS(BOM!I2:I54,BOM!B2:B54,$A19)</f>
        <v>7.3227</v>
      </c>
      <c r="D19" s="7" t="n">
        <f aca="false">SUMIFS(BOM!J2:J54,BOM!B2:B54,$A19)</f>
        <v>6.4427</v>
      </c>
    </row>
    <row r="20" customFormat="false" ht="15" hidden="false" customHeight="false" outlineLevel="0" collapsed="false">
      <c r="A20" s="8" t="s">
        <v>19</v>
      </c>
      <c r="B20" s="7" t="n">
        <f aca="false">SUMIFS(BOM!H2:H54,BOM!B2:B54,$A20)</f>
        <v>18.9285</v>
      </c>
      <c r="C20" s="7" t="n">
        <f aca="false">SUMIFS(BOM!I2:I54,BOM!B2:B54,$A20)</f>
        <v>13.659</v>
      </c>
      <c r="D20" s="7" t="n">
        <f aca="false">SUMIFS(BOM!J2:J54,BOM!B2:B54,$A20)</f>
        <v>11.1485</v>
      </c>
    </row>
    <row r="21" customFormat="false" ht="15" hidden="false" customHeight="false" outlineLevel="0" collapsed="false">
      <c r="A21" s="8" t="s">
        <v>20</v>
      </c>
      <c r="B21" s="7" t="n">
        <f aca="false">SUMIFS(BOM!H2:H54,BOM!B2:B54,$A21)</f>
        <v>3.9373</v>
      </c>
      <c r="C21" s="7" t="n">
        <f aca="false">SUMIFS(BOM!I2:I54,BOM!B2:B54,$A21)</f>
        <v>3.2465</v>
      </c>
      <c r="D21" s="7" t="n">
        <f aca="false">SUMIFS(BOM!J2:J54,BOM!B2:B54,$A21)</f>
        <v>3.065</v>
      </c>
    </row>
    <row r="22" customFormat="false" ht="15" hidden="false" customHeight="false" outlineLevel="0" collapsed="false">
      <c r="A22" s="8" t="s">
        <v>21</v>
      </c>
      <c r="B22" s="7" t="n">
        <f aca="false">SUMIFS(BOM!H2:H54,BOM!B2:B54,$A22)</f>
        <v>19.356</v>
      </c>
      <c r="C22" s="7" t="n">
        <f aca="false">SUMIFS(BOM!I2:I54,BOM!B2:B54,$A22)</f>
        <v>16.987</v>
      </c>
      <c r="D22" s="7" t="n">
        <f aca="false">SUMIFS(BOM!J2:J54,BOM!B2:B54,$A22)</f>
        <v>15.5108</v>
      </c>
    </row>
    <row r="23" customFormat="false" ht="15" hidden="false" customHeight="false" outlineLevel="0" collapsed="false">
      <c r="A23" s="8" t="s">
        <v>22</v>
      </c>
      <c r="B23" s="7" t="n">
        <f aca="false">SUMIFS(BOM!H2:H54,BOM!B2:B54,$A23)</f>
        <v>357.709</v>
      </c>
      <c r="C23" s="7" t="n">
        <f aca="false">SUMIFS(BOM!I2:I54,BOM!B2:B54,$A23)</f>
        <v>262.7218</v>
      </c>
      <c r="D23" s="7" t="n">
        <f aca="false">SUMIFS(BOM!J2:J54,BOM!B2:B54,$A23)</f>
        <v>249.54193</v>
      </c>
    </row>
    <row r="24" customFormat="false" ht="15" hidden="false" customHeight="false" outlineLevel="0" collapsed="false">
      <c r="A24" s="8" t="s">
        <v>23</v>
      </c>
      <c r="B24" s="7" t="n">
        <f aca="false">SUMIFS(BOM!H2:H54,BOM!B2:B54,$A24)</f>
        <v>18.115</v>
      </c>
      <c r="C24" s="7" t="n">
        <f aca="false">SUMIFS(BOM!I2:I54,BOM!B2:B54,$A24)</f>
        <v>17.7454</v>
      </c>
      <c r="D24" s="7" t="n">
        <f aca="false">SUMIFS(BOM!J2:J54,BOM!B2:B54,$A24)</f>
        <v>17.5892</v>
      </c>
    </row>
    <row r="25" customFormat="false" ht="15" hidden="false" customHeight="false" outlineLevel="0" collapsed="false">
      <c r="A25" s="8" t="s">
        <v>24</v>
      </c>
      <c r="B25" s="7" t="n">
        <f aca="false">SUMIFS(BOM!H2:H54,BOM!B2:B54,$A25)</f>
        <v>10.145</v>
      </c>
      <c r="C25" s="7" t="n">
        <f aca="false">SUMIFS(BOM!I2:I54,BOM!B2:B54,$A25)</f>
        <v>9.496</v>
      </c>
      <c r="D25" s="7" t="n">
        <f aca="false">SUMIFS(BOM!J2:J54,BOM!B2:B54,$A25)</f>
        <v>9.166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1" t="s">
        <v>25</v>
      </c>
    </row>
    <row r="3" customFormat="false" ht="15" hidden="false" customHeight="false" outlineLevel="0" collapsed="false">
      <c r="A3" s="8" t="s">
        <v>26</v>
      </c>
      <c r="B3" s="9" t="n">
        <v>0.1</v>
      </c>
      <c r="C3" s="8" t="s">
        <v>27</v>
      </c>
    </row>
    <row r="4" customFormat="false" ht="15" hidden="false" customHeight="false" outlineLevel="0" collapsed="false">
      <c r="A4" s="8" t="s">
        <v>28</v>
      </c>
      <c r="B4" s="10" t="n">
        <v>1</v>
      </c>
      <c r="C4" s="8" t="s">
        <v>29</v>
      </c>
    </row>
    <row r="5" customFormat="false" ht="15" hidden="false" customHeight="false" outlineLevel="0" collapsed="false">
      <c r="A5" s="8" t="s">
        <v>30</v>
      </c>
      <c r="B5" s="10" t="n">
        <v>10</v>
      </c>
      <c r="C5" s="8" t="s">
        <v>31</v>
      </c>
    </row>
    <row r="6" customFormat="false" ht="15" hidden="false" customHeight="false" outlineLevel="0" collapsed="false">
      <c r="A6" s="8" t="s">
        <v>32</v>
      </c>
      <c r="B6" s="10" t="n">
        <v>100</v>
      </c>
      <c r="C6" s="8" t="s">
        <v>33</v>
      </c>
    </row>
    <row r="7" customFormat="false" ht="15" hidden="false" customHeight="false" outlineLevel="0" collapsed="false">
      <c r="A7" s="8" t="s">
        <v>34</v>
      </c>
      <c r="B7" s="10" t="s">
        <v>35</v>
      </c>
      <c r="C7" s="8" t="s">
        <v>36</v>
      </c>
    </row>
    <row r="10" customFormat="false" ht="15" hidden="false" customHeight="false" outlineLevel="0" collapsed="false">
      <c r="A10" s="4" t="s">
        <v>37</v>
      </c>
    </row>
    <row r="11" customFormat="false" ht="15" hidden="false" customHeight="false" outlineLevel="0" collapsed="false">
      <c r="A11" s="8" t="s">
        <v>38</v>
      </c>
    </row>
    <row r="12" customFormat="false" ht="15" hidden="false" customHeight="false" outlineLevel="0" collapsed="false">
      <c r="A12" s="8" t="s">
        <v>39</v>
      </c>
    </row>
    <row r="13" customFormat="false" ht="15" hidden="false" customHeight="false" outlineLevel="0" collapsed="false">
      <c r="A13" s="8" t="s">
        <v>40</v>
      </c>
    </row>
    <row r="14" customFormat="false" ht="15" hidden="false" customHeight="false" outlineLevel="0" collapsed="false">
      <c r="A14" s="8" t="s">
        <v>41</v>
      </c>
    </row>
    <row r="15" customFormat="false" ht="15" hidden="false" customHeight="false" outlineLevel="0" collapsed="false">
      <c r="A15" s="8"/>
    </row>
    <row r="16" customFormat="false" ht="15" hidden="false" customHeight="false" outlineLevel="0" collapsed="false">
      <c r="A16" s="4" t="s">
        <v>42</v>
      </c>
    </row>
    <row r="17" customFormat="false" ht="15" hidden="false" customHeight="false" outlineLevel="0" collapsed="false">
      <c r="A17" s="8" t="s">
        <v>43</v>
      </c>
    </row>
    <row r="18" customFormat="false" ht="15" hidden="false" customHeight="false" outlineLevel="0" collapsed="false">
      <c r="A18" s="8" t="s">
        <v>44</v>
      </c>
    </row>
    <row r="19" customFormat="false" ht="15" hidden="false" customHeight="false" outlineLevel="0" collapsed="false">
      <c r="A19" s="8" t="s">
        <v>45</v>
      </c>
    </row>
    <row r="20" customFormat="false" ht="15" hidden="false" customHeight="false" outlineLevel="0" collapsed="false">
      <c r="A20" s="8"/>
    </row>
    <row r="21" customFormat="false" ht="15" hidden="false" customHeight="false" outlineLevel="0" collapsed="false">
      <c r="A21" s="4" t="s">
        <v>46</v>
      </c>
    </row>
    <row r="22" customFormat="false" ht="15" hidden="false" customHeight="false" outlineLevel="0" collapsed="false">
      <c r="A22" s="8" t="s">
        <v>47</v>
      </c>
    </row>
    <row r="23" customFormat="false" ht="15" hidden="false" customHeight="false" outlineLevel="0" collapsed="false">
      <c r="A23" s="8"/>
    </row>
    <row r="24" customFormat="false" ht="15" hidden="false" customHeight="false" outlineLevel="0" collapsed="false">
      <c r="A24" s="4" t="s">
        <v>48</v>
      </c>
    </row>
    <row r="25" customFormat="false" ht="15" hidden="false" customHeight="false" outlineLevel="0" collapsed="false">
      <c r="A25" s="8" t="s">
        <v>49</v>
      </c>
    </row>
    <row r="26" customFormat="false" ht="15" hidden="false" customHeight="false" outlineLevel="0" collapsed="false">
      <c r="A26" s="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4" min="3" style="0" width="34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10" min="8" style="0" width="11"/>
    <col collapsed="false" customWidth="true" hidden="false" outlineLevel="0" max="12" min="11" style="0" width="18"/>
    <col collapsed="false" customWidth="true" hidden="false" outlineLevel="0" max="13" min="13" style="0" width="14"/>
  </cols>
  <sheetData>
    <row r="1" customFormat="false" ht="52.2" hidden="false" customHeight="false" outlineLevel="0" collapsed="false">
      <c r="A1" s="11" t="s">
        <v>51</v>
      </c>
      <c r="B1" s="11" t="s">
        <v>11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  <c r="I1" s="11" t="s">
        <v>58</v>
      </c>
      <c r="J1" s="11" t="s">
        <v>59</v>
      </c>
      <c r="K1" s="11" t="s">
        <v>60</v>
      </c>
      <c r="L1" s="11" t="s">
        <v>61</v>
      </c>
      <c r="M1" s="11" t="s">
        <v>62</v>
      </c>
    </row>
    <row r="2" customFormat="false" ht="15" hidden="false" customHeight="false" outlineLevel="0" collapsed="false">
      <c r="A2" s="8" t="s">
        <v>63</v>
      </c>
      <c r="B2" s="8" t="s">
        <v>12</v>
      </c>
      <c r="C2" s="8" t="s">
        <v>64</v>
      </c>
      <c r="D2" s="8" t="s">
        <v>65</v>
      </c>
      <c r="E2" s="12" t="n">
        <v>1</v>
      </c>
      <c r="F2" s="8" t="s">
        <v>66</v>
      </c>
      <c r="G2" s="8" t="n">
        <f aca="false">COUNTIFS(Prices!$A$2:$A$106,$A2,Prices!$L$2:$L$106,"Y",Prices!$E$2:$E$106,"&gt;0")</f>
        <v>2</v>
      </c>
      <c r="H2" s="7" t="n">
        <f aca="false">_xlfn.MINIFS(Prices!$W$2:$W$106,Prices!$A$2:$A$106,$A2,Prices!$L$2:$L$106,"Y",Prices!$W$2:$W$106,"&gt;0")</f>
        <v>1.265</v>
      </c>
      <c r="I2" s="7" t="n">
        <f aca="false">_xlfn.MINIFS(Prices!$X$2:$X$106,Prices!$A$2:$A$106,$A2,Prices!$L$2:$L$106,"Y",Prices!$X$2:$X$106,"&gt;0")</f>
        <v>0.9031</v>
      </c>
      <c r="J2" s="7" t="n">
        <f aca="false">_xlfn.MINIFS(Prices!$Y$2:$Y$106,Prices!$A$2:$A$106,$A2,Prices!$L$2:$L$106,"Y",Prices!$Y$2:$Y$106,"&gt;0")</f>
        <v>0.7117</v>
      </c>
      <c r="K2" s="8" t="str">
        <f aca="false">IFERROR(INDEX(Prices!$B$2:$B$106,MATCH($A2&amp;"|"&amp;TEXT($H2,"0.0000")&amp;"|Y",Prices!$Z$2:$Z$106,0)),"none")</f>
        <v>Mouser Australia</v>
      </c>
      <c r="L2" s="8" t="str">
        <f aca="false">IFERROR(INDEX(Prices!$B$2:$B$106,MATCH($A2&amp;"|"&amp;TEXT($J2,"0.0000")&amp;"|Y",Prices!$AA$2:$AA$106,0)),"none")</f>
        <v>Mouser Australia</v>
      </c>
      <c r="M2" s="8" t="str">
        <f aca="false">IF($G2=0,"NO PRICE",IF($G2=1,"Single source",""))</f>
        <v/>
      </c>
    </row>
    <row r="3" customFormat="false" ht="15" hidden="false" customHeight="false" outlineLevel="0" collapsed="false">
      <c r="A3" s="8" t="s">
        <v>67</v>
      </c>
      <c r="B3" s="8" t="s">
        <v>12</v>
      </c>
      <c r="C3" s="8" t="s">
        <v>68</v>
      </c>
      <c r="D3" s="8" t="s">
        <v>69</v>
      </c>
      <c r="E3" s="12" t="n">
        <v>1</v>
      </c>
      <c r="F3" s="8" t="s">
        <v>66</v>
      </c>
      <c r="G3" s="8" t="n">
        <f aca="false">COUNTIFS(Prices!$A$2:$A$106,$A3,Prices!$L$2:$L$106,"Y",Prices!$E$2:$E$106,"&gt;0")</f>
        <v>2</v>
      </c>
      <c r="H3" s="7" t="n">
        <f aca="false">_xlfn.MINIFS(Prices!$W$2:$W$106,Prices!$A$2:$A$106,$A3,Prices!$L$2:$L$106,"Y",Prices!$W$2:$W$106,"&gt;0")</f>
        <v>0.55</v>
      </c>
      <c r="I3" s="7" t="n">
        <f aca="false">_xlfn.MINIFS(Prices!$X$2:$X$106,Prices!$A$2:$A$106,$A3,Prices!$L$2:$L$106,"Y",Prices!$X$2:$X$106,"&gt;0")</f>
        <v>0.5</v>
      </c>
      <c r="J3" s="7" t="n">
        <f aca="false">_xlfn.MINIFS(Prices!$Y$2:$Y$106,Prices!$A$2:$A$106,$A3,Prices!$L$2:$L$106,"Y",Prices!$Y$2:$Y$106,"&gt;0")</f>
        <v>0.45</v>
      </c>
      <c r="K3" s="8" t="str">
        <f aca="false">IFERROR(INDEX(Prices!$B$2:$B$106,MATCH($A3&amp;"|"&amp;TEXT($H3,"0.0000")&amp;"|Y",Prices!$Z$2:$Z$106,0)),"none")</f>
        <v>Wiltronics (AU)</v>
      </c>
      <c r="L3" s="8" t="str">
        <f aca="false">IFERROR(INDEX(Prices!$B$2:$B$106,MATCH($A3&amp;"|"&amp;TEXT($J3,"0.0000")&amp;"|Y",Prices!$AA$2:$AA$106,0)),"none")</f>
        <v>Wiltronics (AU)</v>
      </c>
      <c r="M3" s="8" t="str">
        <f aca="false">IF($G3=0,"NO PRICE",IF($G3=1,"Single source",""))</f>
        <v/>
      </c>
    </row>
    <row r="4" customFormat="false" ht="15" hidden="false" customHeight="false" outlineLevel="0" collapsed="false">
      <c r="A4" s="8" t="s">
        <v>70</v>
      </c>
      <c r="B4" s="8" t="s">
        <v>12</v>
      </c>
      <c r="C4" s="8" t="s">
        <v>71</v>
      </c>
      <c r="D4" s="8" t="s">
        <v>72</v>
      </c>
      <c r="E4" s="12" t="n">
        <v>2</v>
      </c>
      <c r="F4" s="8" t="s">
        <v>66</v>
      </c>
      <c r="G4" s="8" t="n">
        <f aca="false">COUNTIFS(Prices!$A$2:$A$106,$A4,Prices!$L$2:$L$106,"Y",Prices!$E$2:$E$106,"&gt;0")</f>
        <v>2</v>
      </c>
      <c r="H4" s="7" t="n">
        <f aca="false">_xlfn.MINIFS(Prices!$W$2:$W$106,Prices!$A$2:$A$106,$A4,Prices!$L$2:$L$106,"Y",Prices!$W$2:$W$106,"&gt;0")</f>
        <v>1.32</v>
      </c>
      <c r="I4" s="7" t="n">
        <f aca="false">_xlfn.MINIFS(Prices!$X$2:$X$106,Prices!$A$2:$A$106,$A4,Prices!$L$2:$L$106,"Y",Prices!$X$2:$X$106,"&gt;0")</f>
        <v>1.2</v>
      </c>
      <c r="J4" s="7" t="n">
        <f aca="false">_xlfn.MINIFS(Prices!$Y$2:$Y$106,Prices!$A$2:$A$106,$A4,Prices!$L$2:$L$106,"Y",Prices!$Y$2:$Y$106,"&gt;0")</f>
        <v>0.96</v>
      </c>
      <c r="K4" s="8" t="str">
        <f aca="false">IFERROR(INDEX(Prices!$B$2:$B$106,MATCH($A4&amp;"|"&amp;TEXT($H4,"0.0000")&amp;"|Y",Prices!$Z$2:$Z$106,0)),"none")</f>
        <v>Wiltronics (AU)</v>
      </c>
      <c r="L4" s="8" t="str">
        <f aca="false">IFERROR(INDEX(Prices!$B$2:$B$106,MATCH($A4&amp;"|"&amp;TEXT($J4,"0.0000")&amp;"|Y",Prices!$AA$2:$AA$106,0)),"none")</f>
        <v>Wiltronics (AU)</v>
      </c>
      <c r="M4" s="8" t="str">
        <f aca="false">IF($G4=0,"NO PRICE",IF($G4=1,"Single source",""))</f>
        <v/>
      </c>
    </row>
    <row r="5" customFormat="false" ht="15" hidden="false" customHeight="false" outlineLevel="0" collapsed="false">
      <c r="A5" s="8" t="s">
        <v>73</v>
      </c>
      <c r="B5" s="8" t="s">
        <v>12</v>
      </c>
      <c r="C5" s="8" t="s">
        <v>74</v>
      </c>
      <c r="D5" s="8" t="s">
        <v>75</v>
      </c>
      <c r="E5" s="12" t="n">
        <v>2</v>
      </c>
      <c r="F5" s="8" t="s">
        <v>66</v>
      </c>
      <c r="G5" s="8" t="n">
        <f aca="false">COUNTIFS(Prices!$A$2:$A$106,$A5,Prices!$L$2:$L$106,"Y",Prices!$E$2:$E$106,"&gt;0")</f>
        <v>3</v>
      </c>
      <c r="H5" s="7" t="n">
        <f aca="false">_xlfn.MINIFS(Prices!$W$2:$W$106,Prices!$A$2:$A$106,$A5,Prices!$L$2:$L$106,"Y",Prices!$W$2:$W$106,"&gt;0")</f>
        <v>3.014</v>
      </c>
      <c r="I5" s="7" t="n">
        <f aca="false">_xlfn.MINIFS(Prices!$X$2:$X$106,Prices!$A$2:$A$106,$A5,Prices!$L$2:$L$106,"Y",Prices!$X$2:$X$106,"&gt;0")</f>
        <v>1.958</v>
      </c>
      <c r="J5" s="7" t="n">
        <f aca="false">_xlfn.MINIFS(Prices!$Y$2:$Y$106,Prices!$A$2:$A$106,$A5,Prices!$L$2:$L$106,"Y",Prices!$Y$2:$Y$106,"&gt;0")</f>
        <v>1.6258</v>
      </c>
      <c r="K5" s="8" t="str">
        <f aca="false">IFERROR(INDEX(Prices!$B$2:$B$106,MATCH($A5&amp;"|"&amp;TEXT($H5,"0.0000")&amp;"|Y",Prices!$Z$2:$Z$106,0)),"none")</f>
        <v>element14 Australia</v>
      </c>
      <c r="L5" s="8" t="str">
        <f aca="false">IFERROR(INDEX(Prices!$B$2:$B$106,MATCH($A5&amp;"|"&amp;TEXT($J5,"0.0000")&amp;"|Y",Prices!$AA$2:$AA$106,0)),"none")</f>
        <v>element14 Australia</v>
      </c>
      <c r="M5" s="8" t="str">
        <f aca="false">IF($G5=0,"NO PRICE",IF($G5=1,"Single source",""))</f>
        <v/>
      </c>
    </row>
    <row r="6" customFormat="false" ht="15" hidden="false" customHeight="false" outlineLevel="0" collapsed="false">
      <c r="A6" s="8" t="s">
        <v>76</v>
      </c>
      <c r="B6" s="8" t="s">
        <v>12</v>
      </c>
      <c r="C6" s="8" t="s">
        <v>77</v>
      </c>
      <c r="D6" s="8" t="s">
        <v>78</v>
      </c>
      <c r="E6" s="12" t="n">
        <v>1</v>
      </c>
      <c r="F6" s="8" t="s">
        <v>66</v>
      </c>
      <c r="G6" s="8" t="n">
        <f aca="false">COUNTIFS(Prices!$A$2:$A$106,$A6,Prices!$L$2:$L$106,"Y",Prices!$E$2:$E$106,"&gt;0")</f>
        <v>3</v>
      </c>
      <c r="H6" s="7" t="n">
        <f aca="false">_xlfn.MINIFS(Prices!$W$2:$W$106,Prices!$A$2:$A$106,$A6,Prices!$L$2:$L$106,"Y",Prices!$W$2:$W$106,"&gt;0")</f>
        <v>0.66</v>
      </c>
      <c r="I6" s="7" t="n">
        <f aca="false">_xlfn.MINIFS(Prices!$X$2:$X$106,Prices!$A$2:$A$106,$A6,Prices!$L$2:$L$106,"Y",Prices!$X$2:$X$106,"&gt;0")</f>
        <v>0.6</v>
      </c>
      <c r="J6" s="7" t="n">
        <f aca="false">_xlfn.MINIFS(Prices!$Y$2:$Y$106,Prices!$A$2:$A$106,$A6,Prices!$L$2:$L$106,"Y",Prices!$Y$2:$Y$106,"&gt;0")</f>
        <v>0.48</v>
      </c>
      <c r="K6" s="8" t="str">
        <f aca="false">IFERROR(INDEX(Prices!$B$2:$B$106,MATCH($A6&amp;"|"&amp;TEXT($H6,"0.0000")&amp;"|Y",Prices!$Z$2:$Z$106,0)),"none")</f>
        <v>Wiltronics (AU)</v>
      </c>
      <c r="L6" s="8" t="str">
        <f aca="false">IFERROR(INDEX(Prices!$B$2:$B$106,MATCH($A6&amp;"|"&amp;TEXT($J6,"0.0000")&amp;"|Y",Prices!$AA$2:$AA$106,0)),"none")</f>
        <v>Wiltronics (AU)</v>
      </c>
      <c r="M6" s="8" t="str">
        <f aca="false">IF($G6=0,"NO PRICE",IF($G6=1,"Single source",""))</f>
        <v/>
      </c>
    </row>
    <row r="7" customFormat="false" ht="15" hidden="false" customHeight="false" outlineLevel="0" collapsed="false">
      <c r="A7" s="8" t="s">
        <v>79</v>
      </c>
      <c r="B7" s="8" t="s">
        <v>12</v>
      </c>
      <c r="C7" s="8" t="s">
        <v>80</v>
      </c>
      <c r="D7" s="8" t="s">
        <v>81</v>
      </c>
      <c r="E7" s="12" t="n">
        <v>2</v>
      </c>
      <c r="F7" s="8" t="s">
        <v>66</v>
      </c>
      <c r="G7" s="8" t="n">
        <f aca="false">COUNTIFS(Prices!$A$2:$A$106,$A7,Prices!$L$2:$L$106,"Y",Prices!$E$2:$E$106,"&gt;0")</f>
        <v>1</v>
      </c>
      <c r="H7" s="7" t="n">
        <f aca="false">_xlfn.MINIFS(Prices!$W$2:$W$106,Prices!$A$2:$A$106,$A7,Prices!$L$2:$L$106,"Y",Prices!$W$2:$W$106,"&gt;0")</f>
        <v>3.608</v>
      </c>
      <c r="I7" s="7" t="n">
        <f aca="false">_xlfn.MINIFS(Prices!$X$2:$X$106,Prices!$A$2:$A$106,$A7,Prices!$L$2:$L$106,"Y",Prices!$X$2:$X$106,"&gt;0")</f>
        <v>2.574</v>
      </c>
      <c r="J7" s="7" t="n">
        <f aca="false">_xlfn.MINIFS(Prices!$Y$2:$Y$106,Prices!$A$2:$A$106,$A7,Prices!$L$2:$L$106,"Y",Prices!$Y$2:$Y$106,"&gt;0")</f>
        <v>2.0328</v>
      </c>
      <c r="K7" s="8" t="str">
        <f aca="false">IFERROR(INDEX(Prices!$B$2:$B$106,MATCH($A7&amp;"|"&amp;TEXT($H7,"0.0000")&amp;"|Y",Prices!$Z$2:$Z$106,0)),"none")</f>
        <v>Mouser Australia</v>
      </c>
      <c r="L7" s="8" t="str">
        <f aca="false">IFERROR(INDEX(Prices!$B$2:$B$106,MATCH($A7&amp;"|"&amp;TEXT($J7,"0.0000")&amp;"|Y",Prices!$AA$2:$AA$106,0)),"none")</f>
        <v>Mouser Australia</v>
      </c>
      <c r="M7" s="8" t="str">
        <f aca="false">IF($G7=0,"NO PRICE",IF($G7=1,"Single source",""))</f>
        <v>Single source</v>
      </c>
    </row>
    <row r="8" customFormat="false" ht="15" hidden="false" customHeight="false" outlineLevel="0" collapsed="false">
      <c r="A8" s="8" t="s">
        <v>82</v>
      </c>
      <c r="B8" s="8" t="s">
        <v>12</v>
      </c>
      <c r="C8" s="8" t="s">
        <v>83</v>
      </c>
      <c r="D8" s="8" t="s">
        <v>84</v>
      </c>
      <c r="E8" s="12" t="n">
        <v>1</v>
      </c>
      <c r="F8" s="8" t="s">
        <v>66</v>
      </c>
      <c r="G8" s="8" t="n">
        <f aca="false">COUNTIFS(Prices!$A$2:$A$106,$A8,Prices!$L$2:$L$106,"Y",Prices!$E$2:$E$106,"&gt;0")</f>
        <v>1</v>
      </c>
      <c r="H8" s="7" t="n">
        <f aca="false">_xlfn.MINIFS(Prices!$W$2:$W$106,Prices!$A$2:$A$106,$A8,Prices!$L$2:$L$106,"Y",Prices!$W$2:$W$106,"&gt;0")</f>
        <v>4.642</v>
      </c>
      <c r="I8" s="7" t="n">
        <f aca="false">_xlfn.MINIFS(Prices!$X$2:$X$106,Prices!$A$2:$A$106,$A8,Prices!$L$2:$L$106,"Y",Prices!$X$2:$X$106,"&gt;0")</f>
        <v>3.476</v>
      </c>
      <c r="J8" s="7" t="n">
        <f aca="false">_xlfn.MINIFS(Prices!$Y$2:$Y$106,Prices!$A$2:$A$106,$A8,Prices!$L$2:$L$106,"Y",Prices!$Y$2:$Y$106,"&gt;0")</f>
        <v>2.838</v>
      </c>
      <c r="K8" s="8" t="str">
        <f aca="false">IFERROR(INDEX(Prices!$B$2:$B$106,MATCH($A8&amp;"|"&amp;TEXT($H8,"0.0000")&amp;"|Y",Prices!$Z$2:$Z$106,0)),"none")</f>
        <v>Mouser Australia</v>
      </c>
      <c r="L8" s="8" t="str">
        <f aca="false">IFERROR(INDEX(Prices!$B$2:$B$106,MATCH($A8&amp;"|"&amp;TEXT($J8,"0.0000")&amp;"|Y",Prices!$AA$2:$AA$106,0)),"none")</f>
        <v>Mouser Australia</v>
      </c>
      <c r="M8" s="8" t="str">
        <f aca="false">IF($G8=0,"NO PRICE",IF($G8=1,"Single source",""))</f>
        <v>Single source</v>
      </c>
    </row>
    <row r="9" customFormat="false" ht="15" hidden="false" customHeight="false" outlineLevel="0" collapsed="false">
      <c r="A9" s="8" t="s">
        <v>85</v>
      </c>
      <c r="B9" s="8" t="s">
        <v>12</v>
      </c>
      <c r="C9" s="8" t="s">
        <v>86</v>
      </c>
      <c r="D9" s="8" t="s">
        <v>87</v>
      </c>
      <c r="E9" s="12" t="n">
        <v>1</v>
      </c>
      <c r="F9" s="8" t="s">
        <v>66</v>
      </c>
      <c r="G9" s="8" t="n">
        <f aca="false">COUNTIFS(Prices!$A$2:$A$106,$A9,Prices!$L$2:$L$106,"Y",Prices!$E$2:$E$106,"&gt;0")</f>
        <v>2</v>
      </c>
      <c r="H9" s="7" t="n">
        <f aca="false">_xlfn.MINIFS(Prices!$W$2:$W$106,Prices!$A$2:$A$106,$A9,Prices!$L$2:$L$106,"Y",Prices!$W$2:$W$106,"&gt;0")</f>
        <v>1.1</v>
      </c>
      <c r="I9" s="7" t="n">
        <f aca="false">_xlfn.MINIFS(Prices!$X$2:$X$106,Prices!$A$2:$A$106,$A9,Prices!$L$2:$L$106,"Y",Prices!$X$2:$X$106,"&gt;0")</f>
        <v>0.99</v>
      </c>
      <c r="J9" s="7" t="n">
        <f aca="false">_xlfn.MINIFS(Prices!$Y$2:$Y$106,Prices!$A$2:$A$106,$A9,Prices!$L$2:$L$106,"Y",Prices!$Y$2:$Y$106,"&gt;0")</f>
        <v>0.79</v>
      </c>
      <c r="K9" s="8" t="str">
        <f aca="false">IFERROR(INDEX(Prices!$B$2:$B$106,MATCH($A9&amp;"|"&amp;TEXT($H9,"0.0000")&amp;"|Y",Prices!$Z$2:$Z$106,0)),"none")</f>
        <v>Wiltronics (AU)</v>
      </c>
      <c r="L9" s="8" t="str">
        <f aca="false">IFERROR(INDEX(Prices!$B$2:$B$106,MATCH($A9&amp;"|"&amp;TEXT($J9,"0.0000")&amp;"|Y",Prices!$AA$2:$AA$106,0)),"none")</f>
        <v>Wiltronics (AU)</v>
      </c>
      <c r="M9" s="8" t="str">
        <f aca="false">IF($G9=0,"NO PRICE",IF($G9=1,"Single source",""))</f>
        <v/>
      </c>
    </row>
    <row r="10" customFormat="false" ht="15" hidden="false" customHeight="false" outlineLevel="0" collapsed="false">
      <c r="A10" s="8" t="s">
        <v>88</v>
      </c>
      <c r="B10" s="8" t="s">
        <v>12</v>
      </c>
      <c r="C10" s="8" t="s">
        <v>89</v>
      </c>
      <c r="D10" s="8" t="s">
        <v>90</v>
      </c>
      <c r="E10" s="12" t="n">
        <v>2</v>
      </c>
      <c r="F10" s="8" t="s">
        <v>66</v>
      </c>
      <c r="G10" s="8" t="n">
        <f aca="false">COUNTIFS(Prices!$A$2:$A$106,$A10,Prices!$L$2:$L$106,"Y",Prices!$E$2:$E$106,"&gt;0")</f>
        <v>1</v>
      </c>
      <c r="H10" s="7" t="n">
        <f aca="false">_xlfn.MINIFS(Prices!$W$2:$W$106,Prices!$A$2:$A$106,$A10,Prices!$L$2:$L$106,"Y",Prices!$W$2:$W$106,"&gt;0")</f>
        <v>3.388</v>
      </c>
      <c r="I10" s="7" t="n">
        <f aca="false">_xlfn.MINIFS(Prices!$X$2:$X$106,Prices!$A$2:$A$106,$A10,Prices!$L$2:$L$106,"Y",Prices!$X$2:$X$106,"&gt;0")</f>
        <v>2.42</v>
      </c>
      <c r="J10" s="7" t="n">
        <f aca="false">_xlfn.MINIFS(Prices!$Y$2:$Y$106,Prices!$A$2:$A$106,$A10,Prices!$L$2:$L$106,"Y",Prices!$Y$2:$Y$106,"&gt;0")</f>
        <v>1.9338</v>
      </c>
      <c r="K10" s="8" t="str">
        <f aca="false">IFERROR(INDEX(Prices!$B$2:$B$106,MATCH($A10&amp;"|"&amp;TEXT($H10,"0.0000")&amp;"|Y",Prices!$Z$2:$Z$106,0)),"none")</f>
        <v>Mouser Australia</v>
      </c>
      <c r="L10" s="8" t="str">
        <f aca="false">IFERROR(INDEX(Prices!$B$2:$B$106,MATCH($A10&amp;"|"&amp;TEXT($J10,"0.0000")&amp;"|Y",Prices!$AA$2:$AA$106,0)),"none")</f>
        <v>Mouser Australia</v>
      </c>
      <c r="M10" s="8" t="str">
        <f aca="false">IF($G10=0,"NO PRICE",IF($G10=1,"Single source",""))</f>
        <v>Single source</v>
      </c>
    </row>
    <row r="11" customFormat="false" ht="15" hidden="false" customHeight="false" outlineLevel="0" collapsed="false">
      <c r="A11" s="8" t="s">
        <v>91</v>
      </c>
      <c r="B11" s="8" t="s">
        <v>12</v>
      </c>
      <c r="C11" s="8" t="s">
        <v>92</v>
      </c>
      <c r="D11" s="8" t="s">
        <v>93</v>
      </c>
      <c r="E11" s="12" t="n">
        <v>2</v>
      </c>
      <c r="F11" s="8" t="s">
        <v>66</v>
      </c>
      <c r="G11" s="8" t="n">
        <f aca="false">COUNTIFS(Prices!$A$2:$A$106,$A11,Prices!$L$2:$L$106,"Y",Prices!$E$2:$E$106,"&gt;0")</f>
        <v>2</v>
      </c>
      <c r="H11" s="7" t="n">
        <f aca="false">_xlfn.MINIFS(Prices!$W$2:$W$106,Prices!$A$2:$A$106,$A11,Prices!$L$2:$L$106,"Y",Prices!$W$2:$W$106,"&gt;0")</f>
        <v>3.454</v>
      </c>
      <c r="I11" s="7" t="n">
        <f aca="false">_xlfn.MINIFS(Prices!$X$2:$X$106,Prices!$A$2:$A$106,$A11,Prices!$L$2:$L$106,"Y",Prices!$X$2:$X$106,"&gt;0")</f>
        <v>2.442</v>
      </c>
      <c r="J11" s="7" t="n">
        <f aca="false">_xlfn.MINIFS(Prices!$Y$2:$Y$106,Prices!$A$2:$A$106,$A11,Prices!$L$2:$L$106,"Y",Prices!$Y$2:$Y$106,"&gt;0")</f>
        <v>1.9778</v>
      </c>
      <c r="K11" s="8" t="str">
        <f aca="false">IFERROR(INDEX(Prices!$B$2:$B$106,MATCH($A11&amp;"|"&amp;TEXT($H11,"0.0000")&amp;"|Y",Prices!$Z$2:$Z$106,0)),"none")</f>
        <v>Mouser Australia</v>
      </c>
      <c r="L11" s="8" t="str">
        <f aca="false">IFERROR(INDEX(Prices!$B$2:$B$106,MATCH($A11&amp;"|"&amp;TEXT($J11,"0.0000")&amp;"|Y",Prices!$AA$2:$AA$106,0)),"none")</f>
        <v>Mouser Australia</v>
      </c>
      <c r="M11" s="8" t="str">
        <f aca="false">IF($G11=0,"NO PRICE",IF($G11=1,"Single source",""))</f>
        <v/>
      </c>
    </row>
    <row r="12" customFormat="false" ht="15" hidden="false" customHeight="false" outlineLevel="0" collapsed="false">
      <c r="A12" s="8" t="s">
        <v>94</v>
      </c>
      <c r="B12" s="8" t="s">
        <v>12</v>
      </c>
      <c r="C12" s="8" t="s">
        <v>95</v>
      </c>
      <c r="D12" s="8" t="s">
        <v>96</v>
      </c>
      <c r="E12" s="12" t="n">
        <v>2</v>
      </c>
      <c r="F12" s="8" t="s">
        <v>66</v>
      </c>
      <c r="G12" s="8" t="n">
        <f aca="false">COUNTIFS(Prices!$A$2:$A$106,$A12,Prices!$L$2:$L$106,"Y",Prices!$E$2:$E$106,"&gt;0")</f>
        <v>1</v>
      </c>
      <c r="H12" s="7" t="n">
        <f aca="false">_xlfn.MINIFS(Prices!$W$2:$W$106,Prices!$A$2:$A$106,$A12,Prices!$L$2:$L$106,"Y",Prices!$W$2:$W$106,"&gt;0")</f>
        <v>4.268</v>
      </c>
      <c r="I12" s="7" t="n">
        <f aca="false">_xlfn.MINIFS(Prices!$X$2:$X$106,Prices!$A$2:$A$106,$A12,Prices!$L$2:$L$106,"Y",Prices!$X$2:$X$106,"&gt;0")</f>
        <v>3.102</v>
      </c>
      <c r="J12" s="7" t="n">
        <f aca="false">_xlfn.MINIFS(Prices!$Y$2:$Y$106,Prices!$A$2:$A$106,$A12,Prices!$L$2:$L$106,"Y",Prices!$Y$2:$Y$106,"&gt;0")</f>
        <v>2.486</v>
      </c>
      <c r="K12" s="8" t="str">
        <f aca="false">IFERROR(INDEX(Prices!$B$2:$B$106,MATCH($A12&amp;"|"&amp;TEXT($H12,"0.0000")&amp;"|Y",Prices!$Z$2:$Z$106,0)),"none")</f>
        <v>Mouser Australia</v>
      </c>
      <c r="L12" s="8" t="str">
        <f aca="false">IFERROR(INDEX(Prices!$B$2:$B$106,MATCH($A12&amp;"|"&amp;TEXT($J12,"0.0000")&amp;"|Y",Prices!$AA$2:$AA$106,0)),"none")</f>
        <v>Mouser Australia</v>
      </c>
      <c r="M12" s="8" t="str">
        <f aca="false">IF($G12=0,"NO PRICE",IF($G12=1,"Single source",""))</f>
        <v>Single source</v>
      </c>
    </row>
    <row r="13" customFormat="false" ht="15" hidden="false" customHeight="false" outlineLevel="0" collapsed="false">
      <c r="A13" s="8" t="s">
        <v>97</v>
      </c>
      <c r="B13" s="8" t="s">
        <v>12</v>
      </c>
      <c r="C13" s="8" t="s">
        <v>98</v>
      </c>
      <c r="D13" s="8" t="s">
        <v>99</v>
      </c>
      <c r="E13" s="12" t="n">
        <v>9</v>
      </c>
      <c r="F13" s="8" t="s">
        <v>66</v>
      </c>
      <c r="G13" s="8" t="n">
        <f aca="false">COUNTIFS(Prices!$A$2:$A$106,$A13,Prices!$L$2:$L$106,"Y",Prices!$E$2:$E$106,"&gt;0")</f>
        <v>2</v>
      </c>
      <c r="H13" s="7" t="n">
        <f aca="false">_xlfn.MINIFS(Prices!$W$2:$W$106,Prices!$A$2:$A$106,$A13,Prices!$L$2:$L$106,"Y",Prices!$W$2:$W$106,"&gt;0")</f>
        <v>10.08</v>
      </c>
      <c r="I13" s="7" t="n">
        <f aca="false">_xlfn.MINIFS(Prices!$X$2:$X$106,Prices!$A$2:$A$106,$A13,Prices!$L$2:$L$106,"Y",Prices!$X$2:$X$106,"&gt;0")</f>
        <v>7.2</v>
      </c>
      <c r="J13" s="7" t="n">
        <f aca="false">_xlfn.MINIFS(Prices!$Y$2:$Y$106,Prices!$A$2:$A$106,$A13,Prices!$L$2:$L$106,"Y",Prices!$Y$2:$Y$106,"&gt;0")</f>
        <v>7.2</v>
      </c>
      <c r="K13" s="8" t="str">
        <f aca="false">IFERROR(INDEX(Prices!$B$2:$B$106,MATCH($A13&amp;"|"&amp;TEXT($H13,"0.0000")&amp;"|Y",Prices!$Z$2:$Z$106,0)),"none")</f>
        <v>Wiltronics (AU)</v>
      </c>
      <c r="L13" s="8" t="str">
        <f aca="false">IFERROR(INDEX(Prices!$B$2:$B$106,MATCH($A13&amp;"|"&amp;TEXT($J13,"0.0000")&amp;"|Y",Prices!$AA$2:$AA$106,0)),"none")</f>
        <v>Wiltronics (AU)</v>
      </c>
      <c r="M13" s="8" t="str">
        <f aca="false">IF($G13=0,"NO PRICE",IF($G13=1,"Single source",""))</f>
        <v/>
      </c>
    </row>
    <row r="14" customFormat="false" ht="15" hidden="false" customHeight="false" outlineLevel="0" collapsed="false">
      <c r="A14" s="8" t="s">
        <v>100</v>
      </c>
      <c r="B14" s="8" t="s">
        <v>12</v>
      </c>
      <c r="C14" s="8" t="s">
        <v>101</v>
      </c>
      <c r="D14" s="8" t="s">
        <v>102</v>
      </c>
      <c r="E14" s="12" t="n">
        <v>1</v>
      </c>
      <c r="F14" s="8" t="s">
        <v>66</v>
      </c>
      <c r="G14" s="8" t="n">
        <f aca="false">COUNTIFS(Prices!$A$2:$A$106,$A14,Prices!$L$2:$L$106,"Y",Prices!$E$2:$E$106,"&gt;0")</f>
        <v>1</v>
      </c>
      <c r="H14" s="7" t="n">
        <f aca="false">_xlfn.MINIFS(Prices!$W$2:$W$106,Prices!$A$2:$A$106,$A14,Prices!$L$2:$L$106,"Y",Prices!$W$2:$W$106,"&gt;0")</f>
        <v>2.2</v>
      </c>
      <c r="I14" s="7" t="n">
        <f aca="false">_xlfn.MINIFS(Prices!$X$2:$X$106,Prices!$A$2:$A$106,$A14,Prices!$L$2:$L$106,"Y",Prices!$X$2:$X$106,"&gt;0")</f>
        <v>1.606</v>
      </c>
      <c r="J14" s="7" t="n">
        <f aca="false">_xlfn.MINIFS(Prices!$Y$2:$Y$106,Prices!$A$2:$A$106,$A14,Prices!$L$2:$L$106,"Y",Prices!$Y$2:$Y$106,"&gt;0")</f>
        <v>1.287</v>
      </c>
      <c r="K14" s="8" t="str">
        <f aca="false">IFERROR(INDEX(Prices!$B$2:$B$106,MATCH($A14&amp;"|"&amp;TEXT($H14,"0.0000")&amp;"|Y",Prices!$Z$2:$Z$106,0)),"none")</f>
        <v>Mouser Australia</v>
      </c>
      <c r="L14" s="8" t="str">
        <f aca="false">IFERROR(INDEX(Prices!$B$2:$B$106,MATCH($A14&amp;"|"&amp;TEXT($J14,"0.0000")&amp;"|Y",Prices!$AA$2:$AA$106,0)),"none")</f>
        <v>Mouser Australia</v>
      </c>
      <c r="M14" s="8" t="str">
        <f aca="false">IF($G14=0,"NO PRICE",IF($G14=1,"Single source",""))</f>
        <v>Single source</v>
      </c>
    </row>
    <row r="15" customFormat="false" ht="15" hidden="false" customHeight="false" outlineLevel="0" collapsed="false">
      <c r="A15" s="8" t="s">
        <v>103</v>
      </c>
      <c r="B15" s="8" t="s">
        <v>12</v>
      </c>
      <c r="C15" s="8" t="s">
        <v>104</v>
      </c>
      <c r="D15" s="8" t="s">
        <v>105</v>
      </c>
      <c r="E15" s="12" t="n">
        <v>9</v>
      </c>
      <c r="F15" s="8" t="s">
        <v>66</v>
      </c>
      <c r="G15" s="8" t="n">
        <f aca="false">COUNTIFS(Prices!$A$2:$A$106,$A15,Prices!$L$2:$L$106,"Y",Prices!$E$2:$E$106,"&gt;0")</f>
        <v>2</v>
      </c>
      <c r="H15" s="7" t="n">
        <f aca="false">_xlfn.MINIFS(Prices!$W$2:$W$106,Prices!$A$2:$A$106,$A15,Prices!$L$2:$L$106,"Y",Prices!$W$2:$W$106,"&gt;0")</f>
        <v>13.959</v>
      </c>
      <c r="I15" s="7" t="n">
        <f aca="false">_xlfn.MINIFS(Prices!$X$2:$X$106,Prices!$A$2:$A$106,$A15,Prices!$L$2:$L$106,"Y",Prices!$X$2:$X$106,"&gt;0")</f>
        <v>9.1674</v>
      </c>
      <c r="J15" s="7" t="n">
        <f aca="false">_xlfn.MINIFS(Prices!$Y$2:$Y$106,Prices!$A$2:$A$106,$A15,Prices!$L$2:$L$106,"Y",Prices!$Y$2:$Y$106,"&gt;0")</f>
        <v>7.8903</v>
      </c>
      <c r="K15" s="8" t="str">
        <f aca="false">IFERROR(INDEX(Prices!$B$2:$B$106,MATCH($A15&amp;"|"&amp;TEXT($H15,"0.0000")&amp;"|Y",Prices!$Z$2:$Z$106,0)),"none")</f>
        <v>Mouser Australia</v>
      </c>
      <c r="L15" s="8" t="str">
        <f aca="false">IFERROR(INDEX(Prices!$B$2:$B$106,MATCH($A15&amp;"|"&amp;TEXT($J15,"0.0000")&amp;"|Y",Prices!$AA$2:$AA$106,0)),"none")</f>
        <v>element14 Australia</v>
      </c>
      <c r="M15" s="8" t="str">
        <f aca="false">IF($G15=0,"NO PRICE",IF($G15=1,"Single source",""))</f>
        <v/>
      </c>
    </row>
    <row r="16" customFormat="false" ht="15" hidden="false" customHeight="false" outlineLevel="0" collapsed="false">
      <c r="A16" s="8" t="s">
        <v>106</v>
      </c>
      <c r="B16" s="8" t="s">
        <v>12</v>
      </c>
      <c r="C16" s="8" t="s">
        <v>107</v>
      </c>
      <c r="D16" s="8" t="s">
        <v>108</v>
      </c>
      <c r="E16" s="12" t="n">
        <v>2</v>
      </c>
      <c r="F16" s="8" t="s">
        <v>66</v>
      </c>
      <c r="G16" s="8" t="n">
        <f aca="false">COUNTIFS(Prices!$A$2:$A$106,$A16,Prices!$L$2:$L$106,"Y",Prices!$E$2:$E$106,"&gt;0")</f>
        <v>2</v>
      </c>
      <c r="H16" s="7" t="n">
        <f aca="false">_xlfn.MINIFS(Prices!$W$2:$W$106,Prices!$A$2:$A$106,$A16,Prices!$L$2:$L$106,"Y",Prices!$W$2:$W$106,"&gt;0")</f>
        <v>4.466</v>
      </c>
      <c r="I16" s="7" t="n">
        <f aca="false">_xlfn.MINIFS(Prices!$X$2:$X$106,Prices!$A$2:$A$106,$A16,Prices!$L$2:$L$106,"Y",Prices!$X$2:$X$106,"&gt;0")</f>
        <v>3.212</v>
      </c>
      <c r="J16" s="7" t="n">
        <f aca="false">_xlfn.MINIFS(Prices!$Y$2:$Y$106,Prices!$A$2:$A$106,$A16,Prices!$L$2:$L$106,"Y",Prices!$Y$2:$Y$106,"&gt;0")</f>
        <v>2.552</v>
      </c>
      <c r="K16" s="8" t="str">
        <f aca="false">IFERROR(INDEX(Prices!$B$2:$B$106,MATCH($A16&amp;"|"&amp;TEXT($H16,"0.0000")&amp;"|Y",Prices!$Z$2:$Z$106,0)),"none")</f>
        <v>Mouser Australia</v>
      </c>
      <c r="L16" s="8" t="str">
        <f aca="false">IFERROR(INDEX(Prices!$B$2:$B$106,MATCH($A16&amp;"|"&amp;TEXT($J16,"0.0000")&amp;"|Y",Prices!$AA$2:$AA$106,0)),"none")</f>
        <v>Mouser Australia</v>
      </c>
      <c r="M16" s="8" t="str">
        <f aca="false">IF($G16=0,"NO PRICE",IF($G16=1,"Single source",""))</f>
        <v/>
      </c>
    </row>
    <row r="17" customFormat="false" ht="15" hidden="false" customHeight="false" outlineLevel="0" collapsed="false">
      <c r="A17" s="8" t="s">
        <v>109</v>
      </c>
      <c r="B17" s="8" t="s">
        <v>12</v>
      </c>
      <c r="C17" s="8" t="s">
        <v>110</v>
      </c>
      <c r="D17" s="8" t="s">
        <v>111</v>
      </c>
      <c r="E17" s="12" t="n">
        <v>1</v>
      </c>
      <c r="F17" s="8" t="s">
        <v>66</v>
      </c>
      <c r="G17" s="8" t="n">
        <f aca="false">COUNTIFS(Prices!$A$2:$A$106,$A17,Prices!$L$2:$L$106,"Y",Prices!$E$2:$E$106,"&gt;0")</f>
        <v>1</v>
      </c>
      <c r="H17" s="7" t="n">
        <f aca="false">_xlfn.MINIFS(Prices!$W$2:$W$106,Prices!$A$2:$A$106,$A17,Prices!$L$2:$L$106,"Y",Prices!$W$2:$W$106,"&gt;0")</f>
        <v>2.057</v>
      </c>
      <c r="I17" s="7" t="n">
        <f aca="false">_xlfn.MINIFS(Prices!$X$2:$X$106,Prices!$A$2:$A$106,$A17,Prices!$L$2:$L$106,"Y",Prices!$X$2:$X$106,"&gt;0")</f>
        <v>1.386</v>
      </c>
      <c r="J17" s="7" t="n">
        <f aca="false">_xlfn.MINIFS(Prices!$Y$2:$Y$106,Prices!$A$2:$A$106,$A17,Prices!$L$2:$L$106,"Y",Prices!$Y$2:$Y$106,"&gt;0")</f>
        <v>1.199</v>
      </c>
      <c r="K17" s="8" t="str">
        <f aca="false">IFERROR(INDEX(Prices!$B$2:$B$106,MATCH($A17&amp;"|"&amp;TEXT($H17,"0.0000")&amp;"|Y",Prices!$Z$2:$Z$106,0)),"none")</f>
        <v>Mouser Australia</v>
      </c>
      <c r="L17" s="8" t="str">
        <f aca="false">IFERROR(INDEX(Prices!$B$2:$B$106,MATCH($A17&amp;"|"&amp;TEXT($J17,"0.0000")&amp;"|Y",Prices!$AA$2:$AA$106,0)),"none")</f>
        <v>Mouser Australia</v>
      </c>
      <c r="M17" s="8" t="str">
        <f aca="false">IF($G17=0,"NO PRICE",IF($G17=1,"Single source",""))</f>
        <v>Single source</v>
      </c>
    </row>
    <row r="18" customFormat="false" ht="15" hidden="false" customHeight="false" outlineLevel="0" collapsed="false">
      <c r="A18" s="8" t="s">
        <v>112</v>
      </c>
      <c r="B18" s="8" t="s">
        <v>13</v>
      </c>
      <c r="C18" s="8" t="s">
        <v>113</v>
      </c>
      <c r="D18" s="8" t="s">
        <v>114</v>
      </c>
      <c r="E18" s="12" t="n">
        <v>4</v>
      </c>
      <c r="F18" s="8" t="s">
        <v>115</v>
      </c>
      <c r="G18" s="8" t="n">
        <f aca="false">COUNTIFS(Prices!$A$2:$A$106,$A18,Prices!$L$2:$L$106,"Y",Prices!$E$2:$E$106,"&gt;0")</f>
        <v>2</v>
      </c>
      <c r="H18" s="7" t="n">
        <f aca="false">_xlfn.MINIFS(Prices!$W$2:$W$106,Prices!$A$2:$A$106,$A18,Prices!$L$2:$L$106,"Y",Prices!$W$2:$W$106,"&gt;0")</f>
        <v>3</v>
      </c>
      <c r="I18" s="7" t="n">
        <f aca="false">_xlfn.MINIFS(Prices!$X$2:$X$106,Prices!$A$2:$A$106,$A18,Prices!$L$2:$L$106,"Y",Prices!$X$2:$X$106,"&gt;0")</f>
        <v>2.6224</v>
      </c>
      <c r="J18" s="7" t="n">
        <f aca="false">_xlfn.MINIFS(Prices!$Y$2:$Y$106,Prices!$A$2:$A$106,$A18,Prices!$L$2:$L$106,"Y",Prices!$Y$2:$Y$106,"&gt;0")</f>
        <v>2.0284</v>
      </c>
      <c r="K18" s="8" t="str">
        <f aca="false">IFERROR(INDEX(Prices!$B$2:$B$106,MATCH($A18&amp;"|"&amp;TEXT($H18,"0.0000")&amp;"|Y",Prices!$Z$2:$Z$106,0)),"none")</f>
        <v>Core Electronics</v>
      </c>
      <c r="L18" s="8" t="str">
        <f aca="false">IFERROR(INDEX(Prices!$B$2:$B$106,MATCH($A18&amp;"|"&amp;TEXT($J18,"0.0000")&amp;"|Y",Prices!$AA$2:$AA$106,0)),"none")</f>
        <v>Mouser Australia</v>
      </c>
      <c r="M18" s="8" t="str">
        <f aca="false">IF($G18=0,"NO PRICE",IF($G18=1,"Single source",""))</f>
        <v/>
      </c>
    </row>
    <row r="19" customFormat="false" ht="15" hidden="false" customHeight="false" outlineLevel="0" collapsed="false">
      <c r="A19" s="8" t="s">
        <v>116</v>
      </c>
      <c r="B19" s="8" t="s">
        <v>14</v>
      </c>
      <c r="C19" s="8" t="s">
        <v>117</v>
      </c>
      <c r="D19" s="8" t="s">
        <v>118</v>
      </c>
      <c r="E19" s="12" t="n">
        <v>1</v>
      </c>
      <c r="F19" s="8" t="s">
        <v>119</v>
      </c>
      <c r="G19" s="8" t="n">
        <f aca="false">COUNTIFS(Prices!$A$2:$A$106,$A19,Prices!$L$2:$L$106,"Y",Prices!$E$2:$E$106,"&gt;0")</f>
        <v>2</v>
      </c>
      <c r="H19" s="7" t="n">
        <f aca="false">_xlfn.MINIFS(Prices!$W$2:$W$106,Prices!$A$2:$A$106,$A19,Prices!$L$2:$L$106,"Y",Prices!$W$2:$W$106,"&gt;0")</f>
        <v>18.007</v>
      </c>
      <c r="I19" s="7" t="n">
        <f aca="false">_xlfn.MINIFS(Prices!$X$2:$X$106,Prices!$A$2:$A$106,$A19,Prices!$L$2:$L$106,"Y",Prices!$X$2:$X$106,"&gt;0")</f>
        <v>16.731</v>
      </c>
      <c r="J19" s="7" t="n">
        <f aca="false">_xlfn.MINIFS(Prices!$Y$2:$Y$106,Prices!$A$2:$A$106,$A19,Prices!$L$2:$L$106,"Y",Prices!$Y$2:$Y$106,"&gt;0")</f>
        <v>16.731</v>
      </c>
      <c r="K19" s="8" t="str">
        <f aca="false">IFERROR(INDEX(Prices!$B$2:$B$106,MATCH($A19&amp;"|"&amp;TEXT($H19,"0.0000")&amp;"|Y",Prices!$Z$2:$Z$106,0)),"none")</f>
        <v>Mouser Australia</v>
      </c>
      <c r="L19" s="8" t="str">
        <f aca="false">IFERROR(INDEX(Prices!$B$2:$B$106,MATCH($A19&amp;"|"&amp;TEXT($J19,"0.0000")&amp;"|Y",Prices!$AA$2:$AA$106,0)),"none")</f>
        <v>Mouser Australia</v>
      </c>
      <c r="M19" s="8" t="str">
        <f aca="false">IF($G19=0,"NO PRICE",IF($G19=1,"Single source",""))</f>
        <v/>
      </c>
    </row>
    <row r="20" customFormat="false" ht="15" hidden="false" customHeight="false" outlineLevel="0" collapsed="false">
      <c r="A20" s="8" t="s">
        <v>120</v>
      </c>
      <c r="B20" s="8" t="s">
        <v>14</v>
      </c>
      <c r="C20" s="8" t="s">
        <v>121</v>
      </c>
      <c r="D20" s="8" t="s">
        <v>122</v>
      </c>
      <c r="E20" s="12" t="n">
        <v>4</v>
      </c>
      <c r="F20" s="8" t="s">
        <v>123</v>
      </c>
      <c r="G20" s="8" t="n">
        <f aca="false">COUNTIFS(Prices!$A$2:$A$106,$A20,Prices!$L$2:$L$106,"Y",Prices!$E$2:$E$106,"&gt;0")</f>
        <v>2</v>
      </c>
      <c r="H20" s="7" t="n">
        <f aca="false">_xlfn.MINIFS(Prices!$W$2:$W$106,Prices!$A$2:$A$106,$A20,Prices!$L$2:$L$106,"Y",Prices!$W$2:$W$106,"&gt;0")</f>
        <v>78.98</v>
      </c>
      <c r="I20" s="7" t="n">
        <f aca="false">_xlfn.MINIFS(Prices!$X$2:$X$106,Prices!$A$2:$A$106,$A20,Prices!$L$2:$L$106,"Y",Prices!$X$2:$X$106,"&gt;0")</f>
        <v>76.032</v>
      </c>
      <c r="J20" s="7" t="n">
        <f aca="false">_xlfn.MINIFS(Prices!$Y$2:$Y$106,Prices!$A$2:$A$106,$A20,Prices!$L$2:$L$106,"Y",Prices!$Y$2:$Y$106,"&gt;0")</f>
        <v>73.04</v>
      </c>
      <c r="K20" s="8" t="str">
        <f aca="false">IFERROR(INDEX(Prices!$B$2:$B$106,MATCH($A20&amp;"|"&amp;TEXT($H20,"0.0000")&amp;"|Y",Prices!$Z$2:$Z$106,0)),"none")</f>
        <v>Mouser Australia</v>
      </c>
      <c r="L20" s="8" t="str">
        <f aca="false">IFERROR(INDEX(Prices!$B$2:$B$106,MATCH($A20&amp;"|"&amp;TEXT($J20,"0.0000")&amp;"|Y",Prices!$AA$2:$AA$106,0)),"none")</f>
        <v>Mouser Australia</v>
      </c>
      <c r="M20" s="8" t="str">
        <f aca="false">IF($G20=0,"NO PRICE",IF($G20=1,"Single source",""))</f>
        <v/>
      </c>
    </row>
    <row r="21" customFormat="false" ht="15" hidden="false" customHeight="false" outlineLevel="0" collapsed="false">
      <c r="A21" s="8" t="s">
        <v>124</v>
      </c>
      <c r="B21" s="8" t="s">
        <v>15</v>
      </c>
      <c r="C21" s="8" t="s">
        <v>125</v>
      </c>
      <c r="D21" s="8" t="s">
        <v>126</v>
      </c>
      <c r="E21" s="12" t="n">
        <v>4</v>
      </c>
      <c r="F21" s="8" t="s">
        <v>127</v>
      </c>
      <c r="G21" s="8" t="n">
        <f aca="false">COUNTIFS(Prices!$A$2:$A$106,$A21,Prices!$L$2:$L$106,"Y",Prices!$E$2:$E$106,"&gt;0")</f>
        <v>2</v>
      </c>
      <c r="H21" s="7" t="n">
        <f aca="false">_xlfn.MINIFS(Prices!$W$2:$W$106,Prices!$A$2:$A$106,$A21,Prices!$L$2:$L$106,"Y",Prices!$W$2:$W$106,"&gt;0")</f>
        <v>1.6588</v>
      </c>
      <c r="I21" s="7" t="n">
        <f aca="false">_xlfn.MINIFS(Prices!$X$2:$X$106,Prices!$A$2:$A$106,$A21,Prices!$L$2:$L$106,"Y",Prices!$X$2:$X$106,"&gt;0")</f>
        <v>1.0472</v>
      </c>
      <c r="J21" s="7" t="n">
        <f aca="false">_xlfn.MINIFS(Prices!$Y$2:$Y$106,Prices!$A$2:$A$106,$A21,Prices!$L$2:$L$106,"Y",Prices!$Y$2:$Y$106,"&gt;0")</f>
        <v>0.6512</v>
      </c>
      <c r="K21" s="8" t="str">
        <f aca="false">IFERROR(INDEX(Prices!$B$2:$B$106,MATCH($A21&amp;"|"&amp;TEXT($H21,"0.0000")&amp;"|Y",Prices!$Z$2:$Z$106,0)),"none")</f>
        <v>Mouser Australia</v>
      </c>
      <c r="L21" s="8" t="str">
        <f aca="false">IFERROR(INDEX(Prices!$B$2:$B$106,MATCH($A21&amp;"|"&amp;TEXT($J21,"0.0000")&amp;"|Y",Prices!$AA$2:$AA$106,0)),"none")</f>
        <v>Mouser Australia</v>
      </c>
      <c r="M21" s="8" t="str">
        <f aca="false">IF($G21=0,"NO PRICE",IF($G21=1,"Single source",""))</f>
        <v/>
      </c>
    </row>
    <row r="22" customFormat="false" ht="15" hidden="false" customHeight="false" outlineLevel="0" collapsed="false">
      <c r="A22" s="8" t="s">
        <v>128</v>
      </c>
      <c r="B22" s="8" t="s">
        <v>16</v>
      </c>
      <c r="C22" s="8" t="s">
        <v>129</v>
      </c>
      <c r="D22" s="8" t="s">
        <v>130</v>
      </c>
      <c r="E22" s="12" t="n">
        <v>4</v>
      </c>
      <c r="F22" s="8" t="s">
        <v>16</v>
      </c>
      <c r="G22" s="8" t="n">
        <f aca="false">COUNTIFS(Prices!$A$2:$A$106,$A22,Prices!$L$2:$L$106,"Y",Prices!$E$2:$E$106,"&gt;0")</f>
        <v>2</v>
      </c>
      <c r="H22" s="7" t="n">
        <f aca="false">_xlfn.MINIFS(Prices!$W$2:$W$106,Prices!$A$2:$A$106,$A22,Prices!$L$2:$L$106,"Y",Prices!$W$2:$W$106,"&gt;0")</f>
        <v>14.564</v>
      </c>
      <c r="I22" s="7" t="n">
        <f aca="false">_xlfn.MINIFS(Prices!$X$2:$X$106,Prices!$A$2:$A$106,$A22,Prices!$L$2:$L$106,"Y",Prices!$X$2:$X$106,"&gt;0")</f>
        <v>10.252</v>
      </c>
      <c r="J22" s="7" t="n">
        <f aca="false">_xlfn.MINIFS(Prices!$Y$2:$Y$106,Prices!$A$2:$A$106,$A22,Prices!$L$2:$L$106,"Y",Prices!$Y$2:$Y$106,"&gt;0")</f>
        <v>7.964</v>
      </c>
      <c r="K22" s="8" t="str">
        <f aca="false">IFERROR(INDEX(Prices!$B$2:$B$106,MATCH($A22&amp;"|"&amp;TEXT($H22,"0.0000")&amp;"|Y",Prices!$Z$2:$Z$106,0)),"none")</f>
        <v>element14 Australia</v>
      </c>
      <c r="L22" s="8" t="str">
        <f aca="false">IFERROR(INDEX(Prices!$B$2:$B$106,MATCH($A22&amp;"|"&amp;TEXT($J22,"0.0000")&amp;"|Y",Prices!$AA$2:$AA$106,0)),"none")</f>
        <v>element14 Australia</v>
      </c>
      <c r="M22" s="8" t="str">
        <f aca="false">IF($G22=0,"NO PRICE",IF($G22=1,"Single source",""))</f>
        <v/>
      </c>
    </row>
    <row r="23" customFormat="false" ht="15" hidden="false" customHeight="false" outlineLevel="0" collapsed="false">
      <c r="A23" s="8" t="s">
        <v>131</v>
      </c>
      <c r="B23" s="8" t="s">
        <v>17</v>
      </c>
      <c r="C23" s="8" t="s">
        <v>132</v>
      </c>
      <c r="D23" s="8" t="s">
        <v>133</v>
      </c>
      <c r="E23" s="12" t="n">
        <v>50</v>
      </c>
      <c r="F23" s="8" t="s">
        <v>134</v>
      </c>
      <c r="G23" s="8" t="n">
        <f aca="false">COUNTIFS(Prices!$A$2:$A$106,$A23,Prices!$L$2:$L$106,"Y",Prices!$E$2:$E$106,"&gt;0")</f>
        <v>2</v>
      </c>
      <c r="H23" s="7" t="n">
        <f aca="false">_xlfn.MINIFS(Prices!$W$2:$W$106,Prices!$A$2:$A$106,$A23,Prices!$L$2:$L$106,"Y",Prices!$W$2:$W$106,"&gt;0")</f>
        <v>19.36</v>
      </c>
      <c r="I23" s="7" t="n">
        <f aca="false">_xlfn.MINIFS(Prices!$X$2:$X$106,Prices!$A$2:$A$106,$A23,Prices!$L$2:$L$106,"Y",Prices!$X$2:$X$106,"&gt;0")</f>
        <v>14.74</v>
      </c>
      <c r="J23" s="7" t="n">
        <f aca="false">_xlfn.MINIFS(Prices!$Y$2:$Y$106,Prices!$A$2:$A$106,$A23,Prices!$L$2:$L$106,"Y",Prices!$Y$2:$Y$106,"&gt;0")</f>
        <v>14.74</v>
      </c>
      <c r="K23" s="8" t="str">
        <f aca="false">IFERROR(INDEX(Prices!$B$2:$B$106,MATCH($A23&amp;"|"&amp;TEXT($H23,"0.0000")&amp;"|Y",Prices!$Z$2:$Z$106,0)),"none")</f>
        <v>element14 Australia</v>
      </c>
      <c r="L23" s="8" t="str">
        <f aca="false">IFERROR(INDEX(Prices!$B$2:$B$106,MATCH($A23&amp;"|"&amp;TEXT($J23,"0.0000")&amp;"|Y",Prices!$AA$2:$AA$106,0)),"none")</f>
        <v>element14 Australia</v>
      </c>
      <c r="M23" s="8" t="str">
        <f aca="false">IF($G23=0,"NO PRICE",IF($G23=1,"Single source",""))</f>
        <v/>
      </c>
    </row>
    <row r="24" customFormat="false" ht="15" hidden="false" customHeight="false" outlineLevel="0" collapsed="false">
      <c r="A24" s="8" t="s">
        <v>135</v>
      </c>
      <c r="B24" s="8" t="s">
        <v>17</v>
      </c>
      <c r="C24" s="8" t="s">
        <v>136</v>
      </c>
      <c r="D24" s="8" t="s">
        <v>137</v>
      </c>
      <c r="E24" s="12" t="n">
        <v>32</v>
      </c>
      <c r="F24" s="8" t="s">
        <v>138</v>
      </c>
      <c r="G24" s="8" t="n">
        <f aca="false">COUNTIFS(Prices!$A$2:$A$106,$A24,Prices!$L$2:$L$106,"Y",Prices!$E$2:$E$106,"&gt;0")</f>
        <v>2</v>
      </c>
      <c r="H24" s="7" t="n">
        <f aca="false">_xlfn.MINIFS(Prices!$W$2:$W$106,Prices!$A$2:$A$106,$A24,Prices!$L$2:$L$106,"Y",Prices!$W$2:$W$106,"&gt;0")</f>
        <v>9.9968</v>
      </c>
      <c r="I24" s="7" t="n">
        <f aca="false">_xlfn.MINIFS(Prices!$X$2:$X$106,Prices!$A$2:$A$106,$A24,Prices!$L$2:$L$106,"Y",Prices!$X$2:$X$106,"&gt;0")</f>
        <v>7.04</v>
      </c>
      <c r="J24" s="7" t="n">
        <f aca="false">_xlfn.MINIFS(Prices!$Y$2:$Y$106,Prices!$A$2:$A$106,$A24,Prices!$L$2:$L$106,"Y",Prices!$Y$2:$Y$106,"&gt;0")</f>
        <v>7.04</v>
      </c>
      <c r="K24" s="8" t="str">
        <f aca="false">IFERROR(INDEX(Prices!$B$2:$B$106,MATCH($A24&amp;"|"&amp;TEXT($H24,"0.0000")&amp;"|Y",Prices!$Z$2:$Z$106,0)),"none")</f>
        <v>element14 Australia</v>
      </c>
      <c r="L24" s="8" t="str">
        <f aca="false">IFERROR(INDEX(Prices!$B$2:$B$106,MATCH($A24&amp;"|"&amp;TEXT($J24,"0.0000")&amp;"|Y",Prices!$AA$2:$AA$106,0)),"none")</f>
        <v>element14 Australia</v>
      </c>
      <c r="M24" s="8" t="str">
        <f aca="false">IF($G24=0,"NO PRICE",IF($G24=1,"Single source",""))</f>
        <v/>
      </c>
    </row>
    <row r="25" customFormat="false" ht="15" hidden="false" customHeight="false" outlineLevel="0" collapsed="false">
      <c r="A25" s="8" t="s">
        <v>139</v>
      </c>
      <c r="B25" s="8" t="s">
        <v>17</v>
      </c>
      <c r="C25" s="8" t="s">
        <v>140</v>
      </c>
      <c r="D25" s="8" t="s">
        <v>141</v>
      </c>
      <c r="E25" s="12" t="n">
        <v>10</v>
      </c>
      <c r="F25" s="8" t="s">
        <v>142</v>
      </c>
      <c r="G25" s="8" t="n">
        <f aca="false">COUNTIFS(Prices!$A$2:$A$106,$A25,Prices!$L$2:$L$106,"Y",Prices!$E$2:$E$106,"&gt;0")</f>
        <v>2</v>
      </c>
      <c r="H25" s="7" t="n">
        <f aca="false">_xlfn.MINIFS(Prices!$W$2:$W$106,Prices!$A$2:$A$106,$A25,Prices!$L$2:$L$106,"Y",Prices!$W$2:$W$106,"&gt;0")</f>
        <v>6.193</v>
      </c>
      <c r="I25" s="7" t="n">
        <f aca="false">_xlfn.MINIFS(Prices!$X$2:$X$106,Prices!$A$2:$A$106,$A25,Prices!$L$2:$L$106,"Y",Prices!$X$2:$X$106,"&gt;0")</f>
        <v>4.873</v>
      </c>
      <c r="J25" s="7" t="n">
        <f aca="false">_xlfn.MINIFS(Prices!$Y$2:$Y$106,Prices!$A$2:$A$106,$A25,Prices!$L$2:$L$106,"Y",Prices!$Y$2:$Y$106,"&gt;0")</f>
        <v>4.873</v>
      </c>
      <c r="K25" s="8" t="str">
        <f aca="false">IFERROR(INDEX(Prices!$B$2:$B$106,MATCH($A25&amp;"|"&amp;TEXT($H25,"0.0000")&amp;"|Y",Prices!$Z$2:$Z$106,0)),"none")</f>
        <v>element14 Australia</v>
      </c>
      <c r="L25" s="8" t="str">
        <f aca="false">IFERROR(INDEX(Prices!$B$2:$B$106,MATCH($A25&amp;"|"&amp;TEXT($J25,"0.0000")&amp;"|Y",Prices!$AA$2:$AA$106,0)),"none")</f>
        <v>element14 Australia</v>
      </c>
      <c r="M25" s="8" t="str">
        <f aca="false">IF($G25=0,"NO PRICE",IF($G25=1,"Single source",""))</f>
        <v/>
      </c>
    </row>
    <row r="26" customFormat="false" ht="15" hidden="false" customHeight="false" outlineLevel="0" collapsed="false">
      <c r="A26" s="8" t="s">
        <v>143</v>
      </c>
      <c r="B26" s="8" t="s">
        <v>17</v>
      </c>
      <c r="C26" s="8" t="s">
        <v>144</v>
      </c>
      <c r="D26" s="8" t="s">
        <v>141</v>
      </c>
      <c r="E26" s="12" t="n">
        <v>10</v>
      </c>
      <c r="F26" s="8" t="s">
        <v>145</v>
      </c>
      <c r="G26" s="8" t="n">
        <f aca="false">COUNTIFS(Prices!$A$2:$A$106,$A26,Prices!$L$2:$L$106,"Y",Prices!$E$2:$E$106,"&gt;0")</f>
        <v>2</v>
      </c>
      <c r="H26" s="7" t="n">
        <f aca="false">_xlfn.MINIFS(Prices!$W$2:$W$106,Prices!$A$2:$A$106,$A26,Prices!$L$2:$L$106,"Y",Prices!$W$2:$W$106,"&gt;0")</f>
        <v>3.927</v>
      </c>
      <c r="I26" s="7" t="n">
        <f aca="false">_xlfn.MINIFS(Prices!$X$2:$X$106,Prices!$A$2:$A$106,$A26,Prices!$L$2:$L$106,"Y",Prices!$X$2:$X$106,"&gt;0")</f>
        <v>2.332</v>
      </c>
      <c r="J26" s="7" t="n">
        <f aca="false">_xlfn.MINIFS(Prices!$Y$2:$Y$106,Prices!$A$2:$A$106,$A26,Prices!$L$2:$L$106,"Y",Prices!$Y$2:$Y$106,"&gt;0")</f>
        <v>2.332</v>
      </c>
      <c r="K26" s="8" t="str">
        <f aca="false">IFERROR(INDEX(Prices!$B$2:$B$106,MATCH($A26&amp;"|"&amp;TEXT($H26,"0.0000")&amp;"|Y",Prices!$Z$2:$Z$106,0)),"none")</f>
        <v>Mouser Australia</v>
      </c>
      <c r="L26" s="8" t="str">
        <f aca="false">IFERROR(INDEX(Prices!$B$2:$B$106,MATCH($A26&amp;"|"&amp;TEXT($J26,"0.0000")&amp;"|Y",Prices!$AA$2:$AA$106,0)),"none")</f>
        <v>Mouser Australia</v>
      </c>
      <c r="M26" s="8" t="str">
        <f aca="false">IF($G26=0,"NO PRICE",IF($G26=1,"Single source",""))</f>
        <v/>
      </c>
    </row>
    <row r="27" customFormat="false" ht="15" hidden="false" customHeight="false" outlineLevel="0" collapsed="false">
      <c r="A27" s="8" t="s">
        <v>146</v>
      </c>
      <c r="B27" s="8" t="s">
        <v>18</v>
      </c>
      <c r="C27" s="8" t="s">
        <v>147</v>
      </c>
      <c r="D27" s="8" t="s">
        <v>148</v>
      </c>
      <c r="E27" s="12" t="n">
        <v>80</v>
      </c>
      <c r="F27" s="8" t="s">
        <v>149</v>
      </c>
      <c r="G27" s="8" t="n">
        <f aca="false">COUNTIFS(Prices!$A$2:$A$106,$A27,Prices!$L$2:$L$106,"Y",Prices!$E$2:$E$106,"&gt;0")</f>
        <v>2</v>
      </c>
      <c r="H27" s="7" t="n">
        <f aca="false">_xlfn.MINIFS(Prices!$W$2:$W$106,Prices!$A$2:$A$106,$A27,Prices!$L$2:$L$106,"Y",Prices!$W$2:$W$106,"&gt;0")</f>
        <v>5.192</v>
      </c>
      <c r="I27" s="7" t="n">
        <f aca="false">_xlfn.MINIFS(Prices!$X$2:$X$106,Prices!$A$2:$A$106,$A27,Prices!$L$2:$L$106,"Y",Prices!$X$2:$X$106,"&gt;0")</f>
        <v>2.992</v>
      </c>
      <c r="J27" s="7" t="n">
        <f aca="false">_xlfn.MINIFS(Prices!$Y$2:$Y$106,Prices!$A$2:$A$106,$A27,Prices!$L$2:$L$106,"Y",Prices!$Y$2:$Y$106,"&gt;0")</f>
        <v>2.992</v>
      </c>
      <c r="K27" s="8" t="str">
        <f aca="false">IFERROR(INDEX(Prices!$B$2:$B$106,MATCH($A27&amp;"|"&amp;TEXT($H27,"0.0000")&amp;"|Y",Prices!$Z$2:$Z$106,0)),"none")</f>
        <v>element14 Australia</v>
      </c>
      <c r="L27" s="8" t="str">
        <f aca="false">IFERROR(INDEX(Prices!$B$2:$B$106,MATCH($A27&amp;"|"&amp;TEXT($J27,"0.0000")&amp;"|Y",Prices!$AA$2:$AA$106,0)),"none")</f>
        <v>element14 Australia</v>
      </c>
      <c r="M27" s="8" t="str">
        <f aca="false">IF($G27=0,"NO PRICE",IF($G27=1,"Single source",""))</f>
        <v/>
      </c>
    </row>
    <row r="28" customFormat="false" ht="15" hidden="false" customHeight="false" outlineLevel="0" collapsed="false">
      <c r="A28" s="8" t="s">
        <v>150</v>
      </c>
      <c r="B28" s="8" t="s">
        <v>18</v>
      </c>
      <c r="C28" s="8" t="s">
        <v>151</v>
      </c>
      <c r="D28" s="8" t="s">
        <v>137</v>
      </c>
      <c r="E28" s="12" t="n">
        <v>35</v>
      </c>
      <c r="F28" s="8" t="s">
        <v>152</v>
      </c>
      <c r="G28" s="8" t="n">
        <f aca="false">COUNTIFS(Prices!$A$2:$A$106,$A28,Prices!$L$2:$L$106,"Y",Prices!$E$2:$E$106,"&gt;0")</f>
        <v>2</v>
      </c>
      <c r="H28" s="7" t="n">
        <f aca="false">_xlfn.MINIFS(Prices!$W$2:$W$106,Prices!$A$2:$A$106,$A28,Prices!$L$2:$L$106,"Y",Prices!$W$2:$W$106,"&gt;0")</f>
        <v>1.848</v>
      </c>
      <c r="I28" s="7" t="n">
        <f aca="false">_xlfn.MINIFS(Prices!$X$2:$X$106,Prices!$A$2:$A$106,$A28,Prices!$L$2:$L$106,"Y",Prices!$X$2:$X$106,"&gt;0")</f>
        <v>1.5015</v>
      </c>
      <c r="J28" s="7" t="n">
        <f aca="false">_xlfn.MINIFS(Prices!$Y$2:$Y$106,Prices!$A$2:$A$106,$A28,Prices!$L$2:$L$106,"Y",Prices!$Y$2:$Y$106,"&gt;0")</f>
        <v>1.5015</v>
      </c>
      <c r="K28" s="8" t="str">
        <f aca="false">IFERROR(INDEX(Prices!$B$2:$B$106,MATCH($A28&amp;"|"&amp;TEXT($H28,"0.0000")&amp;"|Y",Prices!$Z$2:$Z$106,0)),"none")</f>
        <v>element14 Australia</v>
      </c>
      <c r="L28" s="8" t="str">
        <f aca="false">IFERROR(INDEX(Prices!$B$2:$B$106,MATCH($A28&amp;"|"&amp;TEXT($J28,"0.0000")&amp;"|Y",Prices!$AA$2:$AA$106,0)),"none")</f>
        <v>Mouser Australia</v>
      </c>
      <c r="M28" s="8" t="str">
        <f aca="false">IF($G28=0,"NO PRICE",IF($G28=1,"Single source",""))</f>
        <v/>
      </c>
    </row>
    <row r="29" customFormat="false" ht="15" hidden="false" customHeight="false" outlineLevel="0" collapsed="false">
      <c r="A29" s="8" t="s">
        <v>153</v>
      </c>
      <c r="B29" s="8" t="s">
        <v>18</v>
      </c>
      <c r="C29" s="8" t="s">
        <v>154</v>
      </c>
      <c r="D29" s="8" t="s">
        <v>155</v>
      </c>
      <c r="E29" s="12" t="n">
        <v>10</v>
      </c>
      <c r="F29" s="8" t="s">
        <v>156</v>
      </c>
      <c r="G29" s="8" t="n">
        <f aca="false">COUNTIFS(Prices!$A$2:$A$106,$A29,Prices!$L$2:$L$106,"Y",Prices!$E$2:$E$106,"&gt;0")</f>
        <v>2</v>
      </c>
      <c r="H29" s="7" t="n">
        <f aca="false">_xlfn.MINIFS(Prices!$W$2:$W$106,Prices!$A$2:$A$106,$A29,Prices!$L$2:$L$106,"Y",Prices!$W$2:$W$106,"&gt;0")</f>
        <v>0.649</v>
      </c>
      <c r="I29" s="7" t="n">
        <f aca="false">_xlfn.MINIFS(Prices!$X$2:$X$106,Prices!$A$2:$A$106,$A29,Prices!$L$2:$L$106,"Y",Prices!$X$2:$X$106,"&gt;0")</f>
        <v>0.374</v>
      </c>
      <c r="J29" s="7" t="n">
        <f aca="false">_xlfn.MINIFS(Prices!$Y$2:$Y$106,Prices!$A$2:$A$106,$A29,Prices!$L$2:$L$106,"Y",Prices!$Y$2:$Y$106,"&gt;0")</f>
        <v>0.374</v>
      </c>
      <c r="K29" s="8" t="str">
        <f aca="false">IFERROR(INDEX(Prices!$B$2:$B$106,MATCH($A29&amp;"|"&amp;TEXT($H29,"0.0000")&amp;"|Y",Prices!$Z$2:$Z$106,0)),"none")</f>
        <v>element14 Australia</v>
      </c>
      <c r="L29" s="8" t="str">
        <f aca="false">IFERROR(INDEX(Prices!$B$2:$B$106,MATCH($A29&amp;"|"&amp;TEXT($J29,"0.0000")&amp;"|Y",Prices!$AA$2:$AA$106,0)),"none")</f>
        <v>element14 Australia</v>
      </c>
      <c r="M29" s="8" t="str">
        <f aca="false">IF($G29=0,"NO PRICE",IF($G29=1,"Single source",""))</f>
        <v/>
      </c>
    </row>
    <row r="30" customFormat="false" ht="15" hidden="false" customHeight="false" outlineLevel="0" collapsed="false">
      <c r="A30" s="8" t="s">
        <v>157</v>
      </c>
      <c r="B30" s="8" t="s">
        <v>18</v>
      </c>
      <c r="C30" s="8" t="s">
        <v>158</v>
      </c>
      <c r="D30" s="8"/>
      <c r="E30" s="12" t="n">
        <v>1</v>
      </c>
      <c r="F30" s="8" t="s">
        <v>159</v>
      </c>
      <c r="G30" s="8" t="n">
        <f aca="false">COUNTIFS(Prices!$A$2:$A$106,$A30,Prices!$L$2:$L$106,"Y",Prices!$E$2:$E$106,"&gt;0")</f>
        <v>2</v>
      </c>
      <c r="H30" s="7" t="n">
        <f aca="false">_xlfn.MINIFS(Prices!$W$2:$W$106,Prices!$A$2:$A$106,$A30,Prices!$L$2:$L$106,"Y",Prices!$W$2:$W$106,"&gt;0")</f>
        <v>0.0671</v>
      </c>
      <c r="I30" s="7" t="n">
        <f aca="false">_xlfn.MINIFS(Prices!$X$2:$X$106,Prices!$A$2:$A$106,$A30,Prices!$L$2:$L$106,"Y",Prices!$X$2:$X$106,"&gt;0")</f>
        <v>0.0671</v>
      </c>
      <c r="J30" s="7" t="n">
        <f aca="false">_xlfn.MINIFS(Prices!$Y$2:$Y$106,Prices!$A$2:$A$106,$A30,Prices!$L$2:$L$106,"Y",Prices!$Y$2:$Y$106,"&gt;0")</f>
        <v>0.0429</v>
      </c>
      <c r="K30" s="8" t="str">
        <f aca="false">IFERROR(INDEX(Prices!$B$2:$B$106,MATCH($A30&amp;"|"&amp;TEXT($H30,"0.0000")&amp;"|Y",Prices!$Z$2:$Z$106,0)),"none")</f>
        <v>element14 Australia</v>
      </c>
      <c r="L30" s="8" t="str">
        <f aca="false">IFERROR(INDEX(Prices!$B$2:$B$106,MATCH($A30&amp;"|"&amp;TEXT($J30,"0.0000")&amp;"|Y",Prices!$AA$2:$AA$106,0)),"none")</f>
        <v>Mouser Australia</v>
      </c>
      <c r="M30" s="8" t="str">
        <f aca="false">IF($G30=0,"NO PRICE",IF($G30=1,"Single source",""))</f>
        <v/>
      </c>
    </row>
    <row r="31" customFormat="false" ht="15" hidden="false" customHeight="false" outlineLevel="0" collapsed="false">
      <c r="A31" s="8" t="s">
        <v>160</v>
      </c>
      <c r="B31" s="8" t="s">
        <v>18</v>
      </c>
      <c r="C31" s="8" t="s">
        <v>161</v>
      </c>
      <c r="D31" s="8" t="s">
        <v>141</v>
      </c>
      <c r="E31" s="12" t="n">
        <v>10</v>
      </c>
      <c r="F31" s="8" t="s">
        <v>16</v>
      </c>
      <c r="G31" s="8" t="n">
        <f aca="false">COUNTIFS(Prices!$A$2:$A$106,$A31,Prices!$L$2:$L$106,"Y",Prices!$E$2:$E$106,"&gt;0")</f>
        <v>2</v>
      </c>
      <c r="H31" s="7" t="n">
        <f aca="false">_xlfn.MINIFS(Prices!$W$2:$W$106,Prices!$A$2:$A$106,$A31,Prices!$L$2:$L$106,"Y",Prices!$W$2:$W$106,"&gt;0")</f>
        <v>0.704</v>
      </c>
      <c r="I31" s="7" t="n">
        <f aca="false">_xlfn.MINIFS(Prices!$X$2:$X$106,Prices!$A$2:$A$106,$A31,Prices!$L$2:$L$106,"Y",Prices!$X$2:$X$106,"&gt;0")</f>
        <v>0.462</v>
      </c>
      <c r="J31" s="7" t="n">
        <f aca="false">_xlfn.MINIFS(Prices!$Y$2:$Y$106,Prices!$A$2:$A$106,$A31,Prices!$L$2:$L$106,"Y",Prices!$Y$2:$Y$106,"&gt;0")</f>
        <v>0.462</v>
      </c>
      <c r="K31" s="8" t="str">
        <f aca="false">IFERROR(INDEX(Prices!$B$2:$B$106,MATCH($A31&amp;"|"&amp;TEXT($H31,"0.0000")&amp;"|Y",Prices!$Z$2:$Z$106,0)),"none")</f>
        <v>Mouser Australia</v>
      </c>
      <c r="L31" s="8" t="str">
        <f aca="false">IFERROR(INDEX(Prices!$B$2:$B$106,MATCH($A31&amp;"|"&amp;TEXT($J31,"0.0000")&amp;"|Y",Prices!$AA$2:$AA$106,0)),"none")</f>
        <v>Mouser Australia</v>
      </c>
      <c r="M31" s="8" t="str">
        <f aca="false">IF($G31=0,"NO PRICE",IF($G31=1,"Single source",""))</f>
        <v/>
      </c>
    </row>
    <row r="32" customFormat="false" ht="15" hidden="false" customHeight="false" outlineLevel="0" collapsed="false">
      <c r="A32" s="8" t="s">
        <v>162</v>
      </c>
      <c r="B32" s="8" t="s">
        <v>18</v>
      </c>
      <c r="C32" s="8" t="s">
        <v>163</v>
      </c>
      <c r="D32" s="8"/>
      <c r="E32" s="12" t="n">
        <v>4</v>
      </c>
      <c r="F32" s="8" t="s">
        <v>164</v>
      </c>
      <c r="G32" s="8" t="n">
        <f aca="false">COUNTIFS(Prices!$A$2:$A$106,$A32,Prices!$L$2:$L$106,"Y",Prices!$E$2:$E$106,"&gt;0")</f>
        <v>2</v>
      </c>
      <c r="H32" s="7" t="n">
        <f aca="false">_xlfn.MINIFS(Prices!$W$2:$W$106,Prices!$A$2:$A$106,$A32,Prices!$L$2:$L$106,"Y",Prices!$W$2:$W$106,"&gt;0")</f>
        <v>2.4904</v>
      </c>
      <c r="I32" s="7" t="n">
        <f aca="false">_xlfn.MINIFS(Prices!$X$2:$X$106,Prices!$A$2:$A$106,$A32,Prices!$L$2:$L$106,"Y",Prices!$X$2:$X$106,"&gt;0")</f>
        <v>1.5884</v>
      </c>
      <c r="J32" s="7" t="n">
        <f aca="false">_xlfn.MINIFS(Prices!$Y$2:$Y$106,Prices!$A$2:$A$106,$A32,Prices!$L$2:$L$106,"Y",Prices!$Y$2:$Y$106,"&gt;0")</f>
        <v>0.902</v>
      </c>
      <c r="K32" s="8" t="str">
        <f aca="false">IFERROR(INDEX(Prices!$B$2:$B$106,MATCH($A32&amp;"|"&amp;TEXT($H32,"0.0000")&amp;"|Y",Prices!$Z$2:$Z$106,0)),"none")</f>
        <v>Mouser Australia</v>
      </c>
      <c r="L32" s="8" t="str">
        <f aca="false">IFERROR(INDEX(Prices!$B$2:$B$106,MATCH($A32&amp;"|"&amp;TEXT($J32,"0.0000")&amp;"|Y",Prices!$AA$2:$AA$106,0)),"none")</f>
        <v>element14 Australia</v>
      </c>
      <c r="M32" s="8" t="str">
        <f aca="false">IF($G32=0,"NO PRICE",IF($G32=1,"Single source",""))</f>
        <v/>
      </c>
    </row>
    <row r="33" customFormat="false" ht="15" hidden="false" customHeight="false" outlineLevel="0" collapsed="false">
      <c r="A33" s="8" t="s">
        <v>165</v>
      </c>
      <c r="B33" s="8" t="s">
        <v>18</v>
      </c>
      <c r="C33" s="8" t="s">
        <v>166</v>
      </c>
      <c r="D33" s="8"/>
      <c r="E33" s="12" t="n">
        <v>1</v>
      </c>
      <c r="F33" s="8" t="s">
        <v>167</v>
      </c>
      <c r="G33" s="8" t="n">
        <f aca="false">COUNTIFS(Prices!$A$2:$A$106,$A33,Prices!$L$2:$L$106,"Y",Prices!$E$2:$E$106,"&gt;0")</f>
        <v>2</v>
      </c>
      <c r="H33" s="7" t="n">
        <f aca="false">_xlfn.MINIFS(Prices!$W$2:$W$106,Prices!$A$2:$A$106,$A33,Prices!$L$2:$L$106,"Y",Prices!$W$2:$W$106,"&gt;0")</f>
        <v>0.4477</v>
      </c>
      <c r="I33" s="7" t="n">
        <f aca="false">_xlfn.MINIFS(Prices!$X$2:$X$106,Prices!$A$2:$A$106,$A33,Prices!$L$2:$L$106,"Y",Prices!$X$2:$X$106,"&gt;0")</f>
        <v>0.3377</v>
      </c>
      <c r="J33" s="7" t="n">
        <f aca="false">_xlfn.MINIFS(Prices!$Y$2:$Y$106,Prices!$A$2:$A$106,$A33,Prices!$L$2:$L$106,"Y",Prices!$Y$2:$Y$106,"&gt;0")</f>
        <v>0.1683</v>
      </c>
      <c r="K33" s="8" t="str">
        <f aca="false">IFERROR(INDEX(Prices!$B$2:$B$106,MATCH($A33&amp;"|"&amp;TEXT($H33,"0.0000")&amp;"|Y",Prices!$Z$2:$Z$106,0)),"none")</f>
        <v>element14 Australia</v>
      </c>
      <c r="L33" s="8" t="str">
        <f aca="false">IFERROR(INDEX(Prices!$B$2:$B$106,MATCH($A33&amp;"|"&amp;TEXT($J33,"0.0000")&amp;"|Y",Prices!$AA$2:$AA$106,0)),"none")</f>
        <v>element14 Australia</v>
      </c>
      <c r="M33" s="8" t="str">
        <f aca="false">IF($G33=0,"NO PRICE",IF($G33=1,"Single source",""))</f>
        <v/>
      </c>
    </row>
    <row r="34" customFormat="false" ht="15" hidden="false" customHeight="false" outlineLevel="0" collapsed="false">
      <c r="A34" s="8" t="s">
        <v>168</v>
      </c>
      <c r="B34" s="8" t="s">
        <v>19</v>
      </c>
      <c r="C34" s="8" t="s">
        <v>169</v>
      </c>
      <c r="D34" s="8" t="s">
        <v>170</v>
      </c>
      <c r="E34" s="12" t="n">
        <v>60</v>
      </c>
      <c r="F34" s="8" t="s">
        <v>171</v>
      </c>
      <c r="G34" s="8" t="n">
        <f aca="false">COUNTIFS(Prices!$A$2:$A$106,$A34,Prices!$L$2:$L$106,"Y",Prices!$E$2:$E$106,"&gt;0")</f>
        <v>2</v>
      </c>
      <c r="H34" s="7" t="n">
        <f aca="false">_xlfn.MINIFS(Prices!$W$2:$W$106,Prices!$A$2:$A$106,$A34,Prices!$L$2:$L$106,"Y",Prices!$W$2:$W$106,"&gt;0")</f>
        <v>11.95</v>
      </c>
      <c r="I34" s="7" t="n">
        <f aca="false">_xlfn.MINIFS(Prices!$X$2:$X$106,Prices!$A$2:$A$106,$A34,Prices!$L$2:$L$106,"Y",Prices!$X$2:$X$106,"&gt;0")</f>
        <v>7.17</v>
      </c>
      <c r="J34" s="7" t="n">
        <f aca="false">_xlfn.MINIFS(Prices!$Y$2:$Y$106,Prices!$A$2:$A$106,$A34,Prices!$L$2:$L$106,"Y",Prices!$Y$2:$Y$106,"&gt;0")</f>
        <v>4.77</v>
      </c>
      <c r="K34" s="8" t="str">
        <f aca="false">IFERROR(INDEX(Prices!$B$2:$B$106,MATCH($A34&amp;"|"&amp;TEXT($H34,"0.0000")&amp;"|Y",Prices!$Z$2:$Z$106,0)),"none")</f>
        <v>Jaycar</v>
      </c>
      <c r="L34" s="8" t="str">
        <f aca="false">IFERROR(INDEX(Prices!$B$2:$B$106,MATCH($A34&amp;"|"&amp;TEXT($J34,"0.0000")&amp;"|Y",Prices!$AA$2:$AA$106,0)),"none")</f>
        <v>Jaycar</v>
      </c>
      <c r="M34" s="8" t="str">
        <f aca="false">IF($G34=0,"NO PRICE",IF($G34=1,"Single source",""))</f>
        <v/>
      </c>
    </row>
    <row r="35" customFormat="false" ht="15" hidden="false" customHeight="false" outlineLevel="0" collapsed="false">
      <c r="A35" s="8" t="s">
        <v>172</v>
      </c>
      <c r="B35" s="8" t="s">
        <v>19</v>
      </c>
      <c r="C35" s="8" t="s">
        <v>173</v>
      </c>
      <c r="D35" s="8" t="s">
        <v>174</v>
      </c>
      <c r="E35" s="12" t="n">
        <v>5</v>
      </c>
      <c r="F35" s="8" t="s">
        <v>175</v>
      </c>
      <c r="G35" s="8" t="n">
        <f aca="false">COUNTIFS(Prices!$A$2:$A$106,$A35,Prices!$L$2:$L$106,"Y",Prices!$E$2:$E$106,"&gt;0")</f>
        <v>2</v>
      </c>
      <c r="H35" s="7" t="n">
        <f aca="false">_xlfn.MINIFS(Prices!$W$2:$W$106,Prices!$A$2:$A$106,$A35,Prices!$L$2:$L$106,"Y",Prices!$W$2:$W$106,"&gt;0")</f>
        <v>1.3035</v>
      </c>
      <c r="I35" s="7" t="n">
        <f aca="false">_xlfn.MINIFS(Prices!$X$2:$X$106,Prices!$A$2:$A$106,$A35,Prices!$L$2:$L$106,"Y",Prices!$X$2:$X$106,"&gt;0")</f>
        <v>0.814</v>
      </c>
      <c r="J35" s="7" t="n">
        <f aca="false">_xlfn.MINIFS(Prices!$Y$2:$Y$106,Prices!$A$2:$A$106,$A35,Prices!$L$2:$L$106,"Y",Prices!$Y$2:$Y$106,"&gt;0")</f>
        <v>0.7205</v>
      </c>
      <c r="K35" s="8" t="str">
        <f aca="false">IFERROR(INDEX(Prices!$B$2:$B$106,MATCH($A35&amp;"|"&amp;TEXT($H35,"0.0000")&amp;"|Y",Prices!$Z$2:$Z$106,0)),"none")</f>
        <v>element14 Australia</v>
      </c>
      <c r="L35" s="8" t="str">
        <f aca="false">IFERROR(INDEX(Prices!$B$2:$B$106,MATCH($A35&amp;"|"&amp;TEXT($J35,"0.0000")&amp;"|Y",Prices!$AA$2:$AA$106,0)),"none")</f>
        <v>Mouser Australia</v>
      </c>
      <c r="M35" s="8" t="str">
        <f aca="false">IF($G35=0,"NO PRICE",IF($G35=1,"Single source",""))</f>
        <v/>
      </c>
    </row>
    <row r="36" customFormat="false" ht="15" hidden="false" customHeight="false" outlineLevel="0" collapsed="false">
      <c r="A36" s="8" t="s">
        <v>176</v>
      </c>
      <c r="B36" s="8" t="s">
        <v>19</v>
      </c>
      <c r="C36" s="8" t="s">
        <v>177</v>
      </c>
      <c r="D36" s="8"/>
      <c r="E36" s="12" t="n">
        <v>2</v>
      </c>
      <c r="F36" s="8" t="s">
        <v>159</v>
      </c>
      <c r="G36" s="8" t="n">
        <f aca="false">COUNTIFS(Prices!$A$2:$A$106,$A36,Prices!$L$2:$L$106,"Y",Prices!$E$2:$E$106,"&gt;0")</f>
        <v>2</v>
      </c>
      <c r="H36" s="7" t="n">
        <f aca="false">_xlfn.MINIFS(Prices!$W$2:$W$106,Prices!$A$2:$A$106,$A36,Prices!$L$2:$L$106,"Y",Prices!$W$2:$W$106,"&gt;0")</f>
        <v>0.6</v>
      </c>
      <c r="I36" s="7" t="n">
        <f aca="false">_xlfn.MINIFS(Prices!$X$2:$X$106,Prices!$A$2:$A$106,$A36,Prices!$L$2:$L$106,"Y",Prices!$X$2:$X$106,"&gt;0")</f>
        <v>0.6</v>
      </c>
      <c r="J36" s="7" t="n">
        <f aca="false">_xlfn.MINIFS(Prices!$Y$2:$Y$106,Prices!$A$2:$A$106,$A36,Prices!$L$2:$L$106,"Y",Prices!$Y$2:$Y$106,"&gt;0")</f>
        <v>0.594</v>
      </c>
      <c r="K36" s="8" t="str">
        <f aca="false">IFERROR(INDEX(Prices!$B$2:$B$106,MATCH($A36&amp;"|"&amp;TEXT($H36,"0.0000")&amp;"|Y",Prices!$Z$2:$Z$106,0)),"none")</f>
        <v>Jaycar</v>
      </c>
      <c r="L36" s="8" t="str">
        <f aca="false">IFERROR(INDEX(Prices!$B$2:$B$106,MATCH($A36&amp;"|"&amp;TEXT($J36,"0.0000")&amp;"|Y",Prices!$AA$2:$AA$106,0)),"none")</f>
        <v>Core Electronics</v>
      </c>
      <c r="M36" s="8" t="str">
        <f aca="false">IF($G36=0,"NO PRICE",IF($G36=1,"Single source",""))</f>
        <v/>
      </c>
    </row>
    <row r="37" customFormat="false" ht="15" hidden="false" customHeight="false" outlineLevel="0" collapsed="false">
      <c r="A37" s="8" t="s">
        <v>178</v>
      </c>
      <c r="B37" s="8" t="s">
        <v>19</v>
      </c>
      <c r="C37" s="8" t="s">
        <v>179</v>
      </c>
      <c r="D37" s="8" t="s">
        <v>180</v>
      </c>
      <c r="E37" s="12" t="n">
        <v>16</v>
      </c>
      <c r="F37" s="8" t="s">
        <v>181</v>
      </c>
      <c r="G37" s="8" t="n">
        <f aca="false">COUNTIFS(Prices!$A$2:$A$106,$A37,Prices!$L$2:$L$106,"Y",Prices!$E$2:$E$106,"&gt;0")</f>
        <v>2</v>
      </c>
      <c r="H37" s="7" t="n">
        <f aca="false">_xlfn.MINIFS(Prices!$W$2:$W$106,Prices!$A$2:$A$106,$A37,Prices!$L$2:$L$106,"Y",Prices!$W$2:$W$106,"&gt;0")</f>
        <v>4.8</v>
      </c>
      <c r="I37" s="7" t="n">
        <f aca="false">_xlfn.MINIFS(Prices!$X$2:$X$106,Prices!$A$2:$A$106,$A37,Prices!$L$2:$L$106,"Y",Prices!$X$2:$X$106,"&gt;0")</f>
        <v>4.8</v>
      </c>
      <c r="J37" s="7" t="n">
        <f aca="false">_xlfn.MINIFS(Prices!$Y$2:$Y$106,Prices!$A$2:$A$106,$A37,Prices!$L$2:$L$106,"Y",Prices!$Y$2:$Y$106,"&gt;0")</f>
        <v>4.8</v>
      </c>
      <c r="K37" s="8" t="str">
        <f aca="false">IFERROR(INDEX(Prices!$B$2:$B$106,MATCH($A37&amp;"|"&amp;TEXT($H37,"0.0000")&amp;"|Y",Prices!$Z$2:$Z$106,0)),"none")</f>
        <v>Jaycar</v>
      </c>
      <c r="L37" s="8" t="str">
        <f aca="false">IFERROR(INDEX(Prices!$B$2:$B$106,MATCH($A37&amp;"|"&amp;TEXT($J37,"0.0000")&amp;"|Y",Prices!$AA$2:$AA$106,0)),"none")</f>
        <v>Jaycar</v>
      </c>
      <c r="M37" s="8" t="str">
        <f aca="false">IF($G37=0,"NO PRICE",IF($G37=1,"Single source",""))</f>
        <v/>
      </c>
    </row>
    <row r="38" customFormat="false" ht="15" hidden="false" customHeight="false" outlineLevel="0" collapsed="false">
      <c r="A38" s="8" t="s">
        <v>182</v>
      </c>
      <c r="B38" s="8" t="s">
        <v>19</v>
      </c>
      <c r="C38" s="8" t="s">
        <v>183</v>
      </c>
      <c r="D38" s="8" t="s">
        <v>184</v>
      </c>
      <c r="E38" s="12" t="n">
        <v>1</v>
      </c>
      <c r="F38" s="8" t="s">
        <v>185</v>
      </c>
      <c r="G38" s="8" t="n">
        <f aca="false">COUNTIFS(Prices!$A$2:$A$106,$A38,Prices!$L$2:$L$106,"Y",Prices!$E$2:$E$106,"&gt;0")</f>
        <v>2</v>
      </c>
      <c r="H38" s="7" t="n">
        <f aca="false">_xlfn.MINIFS(Prices!$W$2:$W$106,Prices!$A$2:$A$106,$A38,Prices!$L$2:$L$106,"Y",Prices!$W$2:$W$106,"&gt;0")</f>
        <v>0.275</v>
      </c>
      <c r="I38" s="7" t="n">
        <f aca="false">_xlfn.MINIFS(Prices!$X$2:$X$106,Prices!$A$2:$A$106,$A38,Prices!$L$2:$L$106,"Y",Prices!$X$2:$X$106,"&gt;0")</f>
        <v>0.275</v>
      </c>
      <c r="J38" s="7" t="n">
        <f aca="false">_xlfn.MINIFS(Prices!$Y$2:$Y$106,Prices!$A$2:$A$106,$A38,Prices!$L$2:$L$106,"Y",Prices!$Y$2:$Y$106,"&gt;0")</f>
        <v>0.264</v>
      </c>
      <c r="K38" s="8" t="str">
        <f aca="false">IFERROR(INDEX(Prices!$B$2:$B$106,MATCH($A38&amp;"|"&amp;TEXT($H38,"0.0000")&amp;"|Y",Prices!$Z$2:$Z$106,0)),"none")</f>
        <v>Core Electronics</v>
      </c>
      <c r="L38" s="8" t="str">
        <f aca="false">IFERROR(INDEX(Prices!$B$2:$B$106,MATCH($A38&amp;"|"&amp;TEXT($J38,"0.0000")&amp;"|Y",Prices!$AA$2:$AA$106,0)),"none")</f>
        <v>Core Electronics</v>
      </c>
      <c r="M38" s="8" t="str">
        <f aca="false">IF($G38=0,"NO PRICE",IF($G38=1,"Single source",""))</f>
        <v/>
      </c>
    </row>
    <row r="39" customFormat="false" ht="15" hidden="false" customHeight="false" outlineLevel="0" collapsed="false">
      <c r="A39" s="8" t="s">
        <v>186</v>
      </c>
      <c r="B39" s="8" t="s">
        <v>20</v>
      </c>
      <c r="C39" s="8" t="s">
        <v>187</v>
      </c>
      <c r="D39" s="8" t="s">
        <v>188</v>
      </c>
      <c r="E39" s="12" t="n">
        <v>1</v>
      </c>
      <c r="F39" s="8" t="s">
        <v>159</v>
      </c>
      <c r="G39" s="8" t="n">
        <f aca="false">COUNTIFS(Prices!$A$2:$A$106,$A39,Prices!$L$2:$L$106,"Y",Prices!$E$2:$E$106,"&gt;0")</f>
        <v>2</v>
      </c>
      <c r="H39" s="7" t="n">
        <f aca="false">_xlfn.MINIFS(Prices!$W$2:$W$106,Prices!$A$2:$A$106,$A39,Prices!$L$2:$L$106,"Y",Prices!$W$2:$W$106,"&gt;0")</f>
        <v>2.9</v>
      </c>
      <c r="I39" s="7" t="n">
        <f aca="false">_xlfn.MINIFS(Prices!$X$2:$X$106,Prices!$A$2:$A$106,$A39,Prices!$L$2:$L$106,"Y",Prices!$X$2:$X$106,"&gt;0")</f>
        <v>2.35</v>
      </c>
      <c r="J39" s="7" t="n">
        <f aca="false">_xlfn.MINIFS(Prices!$Y$2:$Y$106,Prices!$A$2:$A$106,$A39,Prices!$L$2:$L$106,"Y",Prices!$Y$2:$Y$106,"&gt;0")</f>
        <v>2.35</v>
      </c>
      <c r="K39" s="8" t="str">
        <f aca="false">IFERROR(INDEX(Prices!$B$2:$B$106,MATCH($A39&amp;"|"&amp;TEXT($H39,"0.0000")&amp;"|Y",Prices!$Z$2:$Z$106,0)),"none")</f>
        <v>Altronics</v>
      </c>
      <c r="L39" s="8" t="str">
        <f aca="false">IFERROR(INDEX(Prices!$B$2:$B$106,MATCH($A39&amp;"|"&amp;TEXT($J39,"0.0000")&amp;"|Y",Prices!$AA$2:$AA$106,0)),"none")</f>
        <v>Altronics</v>
      </c>
      <c r="M39" s="8" t="str">
        <f aca="false">IF($G39=0,"NO PRICE",IF($G39=1,"Single source",""))</f>
        <v/>
      </c>
    </row>
    <row r="40" customFormat="false" ht="15" hidden="false" customHeight="false" outlineLevel="0" collapsed="false">
      <c r="A40" s="8" t="s">
        <v>189</v>
      </c>
      <c r="B40" s="8" t="s">
        <v>20</v>
      </c>
      <c r="C40" s="8" t="s">
        <v>190</v>
      </c>
      <c r="D40" s="8" t="s">
        <v>191</v>
      </c>
      <c r="E40" s="12" t="n">
        <v>1</v>
      </c>
      <c r="F40" s="8" t="s">
        <v>159</v>
      </c>
      <c r="G40" s="8" t="n">
        <f aca="false">COUNTIFS(Prices!$A$2:$A$106,$A40,Prices!$L$2:$L$106,"Y",Prices!$E$2:$E$106,"&gt;0")</f>
        <v>2</v>
      </c>
      <c r="H40" s="7" t="n">
        <f aca="false">_xlfn.MINIFS(Prices!$W$2:$W$106,Prices!$A$2:$A$106,$A40,Prices!$L$2:$L$106,"Y",Prices!$W$2:$W$106,"&gt;0")</f>
        <v>1.0373</v>
      </c>
      <c r="I40" s="7" t="n">
        <f aca="false">_xlfn.MINIFS(Prices!$X$2:$X$106,Prices!$A$2:$A$106,$A40,Prices!$L$2:$L$106,"Y",Prices!$X$2:$X$106,"&gt;0")</f>
        <v>0.8965</v>
      </c>
      <c r="J40" s="7" t="n">
        <f aca="false">_xlfn.MINIFS(Prices!$Y$2:$Y$106,Prices!$A$2:$A$106,$A40,Prices!$L$2:$L$106,"Y",Prices!$Y$2:$Y$106,"&gt;0")</f>
        <v>0.715</v>
      </c>
      <c r="K40" s="8" t="str">
        <f aca="false">IFERROR(INDEX(Prices!$B$2:$B$106,MATCH($A40&amp;"|"&amp;TEXT($H40,"0.0000")&amp;"|Y",Prices!$Z$2:$Z$106,0)),"none")</f>
        <v>Mouser Australia</v>
      </c>
      <c r="L40" s="8" t="str">
        <f aca="false">IFERROR(INDEX(Prices!$B$2:$B$106,MATCH($A40&amp;"|"&amp;TEXT($J40,"0.0000")&amp;"|Y",Prices!$AA$2:$AA$106,0)),"none")</f>
        <v>Mouser Australia</v>
      </c>
      <c r="M40" s="8" t="str">
        <f aca="false">IF($G40=0,"NO PRICE",IF($G40=1,"Single source",""))</f>
        <v/>
      </c>
    </row>
    <row r="41" customFormat="false" ht="15" hidden="false" customHeight="false" outlineLevel="0" collapsed="false">
      <c r="A41" s="8" t="s">
        <v>192</v>
      </c>
      <c r="B41" s="8" t="s">
        <v>21</v>
      </c>
      <c r="C41" s="8" t="s">
        <v>193</v>
      </c>
      <c r="D41" s="8" t="s">
        <v>194</v>
      </c>
      <c r="E41" s="12" t="n">
        <v>3</v>
      </c>
      <c r="F41" s="8" t="s">
        <v>167</v>
      </c>
      <c r="G41" s="8" t="n">
        <f aca="false">COUNTIFS(Prices!$A$2:$A$106,$A41,Prices!$L$2:$L$106,"Y",Prices!$E$2:$E$106,"&gt;0")</f>
        <v>2</v>
      </c>
      <c r="H41" s="7" t="n">
        <f aca="false">_xlfn.MINIFS(Prices!$W$2:$W$106,Prices!$A$2:$A$106,$A41,Prices!$L$2:$L$106,"Y",Prices!$W$2:$W$106,"&gt;0")</f>
        <v>2.85</v>
      </c>
      <c r="I41" s="7" t="n">
        <f aca="false">_xlfn.MINIFS(Prices!$X$2:$X$106,Prices!$A$2:$A$106,$A41,Prices!$L$2:$L$106,"Y",Prices!$X$2:$X$106,"&gt;0")</f>
        <v>0.979</v>
      </c>
      <c r="J41" s="7" t="n">
        <f aca="false">_xlfn.MINIFS(Prices!$Y$2:$Y$106,Prices!$A$2:$A$106,$A41,Prices!$L$2:$L$106,"Y",Prices!$Y$2:$Y$106,"&gt;0")</f>
        <v>0.7128</v>
      </c>
      <c r="K41" s="8" t="str">
        <f aca="false">IFERROR(INDEX(Prices!$B$2:$B$106,MATCH($A41&amp;"|"&amp;TEXT($H41,"0.0000")&amp;"|Y",Prices!$Z$2:$Z$106,0)),"none")</f>
        <v>Jaycar</v>
      </c>
      <c r="L41" s="8" t="str">
        <f aca="false">IFERROR(INDEX(Prices!$B$2:$B$106,MATCH($A41&amp;"|"&amp;TEXT($J41,"0.0000")&amp;"|Y",Prices!$AA$2:$AA$106,0)),"none")</f>
        <v>Core Electronics</v>
      </c>
      <c r="M41" s="8" t="str">
        <f aca="false">IF($G41=0,"NO PRICE",IF($G41=1,"Single source",""))</f>
        <v/>
      </c>
    </row>
    <row r="42" customFormat="false" ht="15" hidden="false" customHeight="false" outlineLevel="0" collapsed="false">
      <c r="A42" s="8" t="s">
        <v>195</v>
      </c>
      <c r="B42" s="8" t="s">
        <v>21</v>
      </c>
      <c r="C42" s="8" t="s">
        <v>196</v>
      </c>
      <c r="D42" s="8" t="s">
        <v>197</v>
      </c>
      <c r="E42" s="12" t="n">
        <v>2</v>
      </c>
      <c r="F42" s="8" t="s">
        <v>167</v>
      </c>
      <c r="G42" s="8" t="n">
        <f aca="false">COUNTIFS(Prices!$A$2:$A$106,$A42,Prices!$L$2:$L$106,"Y",Prices!$E$2:$E$106,"&gt;0")</f>
        <v>2</v>
      </c>
      <c r="H42" s="7" t="n">
        <f aca="false">_xlfn.MINIFS(Prices!$W$2:$W$106,Prices!$A$2:$A$106,$A42,Prices!$L$2:$L$106,"Y",Prices!$W$2:$W$106,"&gt;0")</f>
        <v>3.806</v>
      </c>
      <c r="I42" s="7" t="n">
        <f aca="false">_xlfn.MINIFS(Prices!$X$2:$X$106,Prices!$A$2:$A$106,$A42,Prices!$L$2:$L$106,"Y",Prices!$X$2:$X$106,"&gt;0")</f>
        <v>3.6</v>
      </c>
      <c r="J42" s="7" t="n">
        <f aca="false">_xlfn.MINIFS(Prices!$Y$2:$Y$106,Prices!$A$2:$A$106,$A42,Prices!$L$2:$L$106,"Y",Prices!$Y$2:$Y$106,"&gt;0")</f>
        <v>3.2</v>
      </c>
      <c r="K42" s="8" t="str">
        <f aca="false">IFERROR(INDEX(Prices!$B$2:$B$106,MATCH($A42&amp;"|"&amp;TEXT($H42,"0.0000")&amp;"|Y",Prices!$Z$2:$Z$106,0)),"none")</f>
        <v>Core Electronics</v>
      </c>
      <c r="L42" s="8" t="str">
        <f aca="false">IFERROR(INDEX(Prices!$B$2:$B$106,MATCH($A42&amp;"|"&amp;TEXT($J42,"0.0000")&amp;"|Y",Prices!$AA$2:$AA$106,0)),"none")</f>
        <v>Jaycar</v>
      </c>
      <c r="M42" s="8" t="str">
        <f aca="false">IF($G42=0,"NO PRICE",IF($G42=1,"Single source",""))</f>
        <v/>
      </c>
    </row>
    <row r="43" customFormat="false" ht="15" hidden="false" customHeight="false" outlineLevel="0" collapsed="false">
      <c r="A43" s="8" t="s">
        <v>198</v>
      </c>
      <c r="B43" s="8" t="s">
        <v>21</v>
      </c>
      <c r="C43" s="8" t="s">
        <v>199</v>
      </c>
      <c r="D43" s="8" t="s">
        <v>200</v>
      </c>
      <c r="E43" s="12" t="n">
        <v>3</v>
      </c>
      <c r="F43" s="8" t="s">
        <v>167</v>
      </c>
      <c r="G43" s="8" t="n">
        <f aca="false">COUNTIFS(Prices!$A$2:$A$106,$A43,Prices!$L$2:$L$106,"Y",Prices!$E$2:$E$106,"&gt;0")</f>
        <v>2</v>
      </c>
      <c r="H43" s="7" t="n">
        <f aca="false">_xlfn.MINIFS(Prices!$W$2:$W$106,Prices!$A$2:$A$106,$A43,Prices!$L$2:$L$106,"Y",Prices!$W$2:$W$106,"&gt;0")</f>
        <v>10.8</v>
      </c>
      <c r="I43" s="7" t="n">
        <f aca="false">_xlfn.MINIFS(Prices!$X$2:$X$106,Prices!$A$2:$A$106,$A43,Prices!$L$2:$L$106,"Y",Prices!$X$2:$X$106,"&gt;0")</f>
        <v>10.758</v>
      </c>
      <c r="J43" s="7" t="n">
        <f aca="false">_xlfn.MINIFS(Prices!$Y$2:$Y$106,Prices!$A$2:$A$106,$A43,Prices!$L$2:$L$106,"Y",Prices!$Y$2:$Y$106,"&gt;0")</f>
        <v>10.098</v>
      </c>
      <c r="K43" s="8" t="str">
        <f aca="false">IFERROR(INDEX(Prices!$B$2:$B$106,MATCH($A43&amp;"|"&amp;TEXT($H43,"0.0000")&amp;"|Y",Prices!$Z$2:$Z$106,0)),"none")</f>
        <v>Jaycar</v>
      </c>
      <c r="L43" s="8" t="str">
        <f aca="false">IFERROR(INDEX(Prices!$B$2:$B$106,MATCH($A43&amp;"|"&amp;TEXT($J43,"0.0000")&amp;"|Y",Prices!$AA$2:$AA$106,0)),"none")</f>
        <v>Core Electronics</v>
      </c>
      <c r="M43" s="8" t="str">
        <f aca="false">IF($G43=0,"NO PRICE",IF($G43=1,"Single source",""))</f>
        <v/>
      </c>
    </row>
    <row r="44" customFormat="false" ht="15" hidden="false" customHeight="false" outlineLevel="0" collapsed="false">
      <c r="A44" s="8" t="s">
        <v>201</v>
      </c>
      <c r="B44" s="8" t="s">
        <v>21</v>
      </c>
      <c r="C44" s="8" t="s">
        <v>202</v>
      </c>
      <c r="D44" s="8" t="s">
        <v>203</v>
      </c>
      <c r="E44" s="12" t="n">
        <v>1</v>
      </c>
      <c r="F44" s="8" t="s">
        <v>167</v>
      </c>
      <c r="G44" s="8" t="n">
        <f aca="false">COUNTIFS(Prices!$A$2:$A$106,$A44,Prices!$L$2:$L$106,"Y",Prices!$E$2:$E$106,"&gt;0")</f>
        <v>2</v>
      </c>
      <c r="H44" s="7" t="n">
        <f aca="false">_xlfn.MINIFS(Prices!$W$2:$W$106,Prices!$A$2:$A$106,$A44,Prices!$L$2:$L$106,"Y",Prices!$W$2:$W$106,"&gt;0")</f>
        <v>1.9</v>
      </c>
      <c r="I44" s="7" t="n">
        <f aca="false">_xlfn.MINIFS(Prices!$X$2:$X$106,Prices!$A$2:$A$106,$A44,Prices!$L$2:$L$106,"Y",Prices!$X$2:$X$106,"&gt;0")</f>
        <v>1.65</v>
      </c>
      <c r="J44" s="7" t="n">
        <f aca="false">_xlfn.MINIFS(Prices!$Y$2:$Y$106,Prices!$A$2:$A$106,$A44,Prices!$L$2:$L$106,"Y",Prices!$Y$2:$Y$106,"&gt;0")</f>
        <v>1.5</v>
      </c>
      <c r="K44" s="8" t="str">
        <f aca="false">IFERROR(INDEX(Prices!$B$2:$B$106,MATCH($A44&amp;"|"&amp;TEXT($H44,"0.0000")&amp;"|Y",Prices!$Z$2:$Z$106,0)),"none")</f>
        <v>Wiltronics</v>
      </c>
      <c r="L44" s="8" t="str">
        <f aca="false">IFERROR(INDEX(Prices!$B$2:$B$106,MATCH($A44&amp;"|"&amp;TEXT($J44,"0.0000")&amp;"|Y",Prices!$AA$2:$AA$106,0)),"none")</f>
        <v>Wiltronics</v>
      </c>
      <c r="M44" s="8" t="str">
        <f aca="false">IF($G44=0,"NO PRICE",IF($G44=1,"Single source",""))</f>
        <v/>
      </c>
    </row>
    <row r="45" customFormat="false" ht="15" hidden="false" customHeight="false" outlineLevel="0" collapsed="false">
      <c r="A45" s="8" t="s">
        <v>204</v>
      </c>
      <c r="B45" s="8" t="s">
        <v>22</v>
      </c>
      <c r="C45" s="8" t="s">
        <v>205</v>
      </c>
      <c r="D45" s="8" t="s">
        <v>206</v>
      </c>
      <c r="E45" s="12" t="n">
        <v>18</v>
      </c>
      <c r="F45" s="8" t="s">
        <v>207</v>
      </c>
      <c r="G45" s="8" t="n">
        <f aca="false">COUNTIFS(Prices!$A$2:$A$106,$A45,Prices!$L$2:$L$106,"Y",Prices!$E$2:$E$106,"&gt;0")</f>
        <v>2</v>
      </c>
      <c r="H45" s="7" t="n">
        <f aca="false">_xlfn.MINIFS(Prices!$W$2:$W$106,Prices!$A$2:$A$106,$A45,Prices!$L$2:$L$106,"Y",Prices!$W$2:$W$106,"&gt;0")</f>
        <v>71.082</v>
      </c>
      <c r="I45" s="7" t="n">
        <f aca="false">_xlfn.MINIFS(Prices!$X$2:$X$106,Prices!$A$2:$A$106,$A45,Prices!$L$2:$L$106,"Y",Prices!$X$2:$X$106,"&gt;0")</f>
        <v>60.39</v>
      </c>
      <c r="J45" s="7" t="n">
        <f aca="false">_xlfn.MINIFS(Prices!$Y$2:$Y$106,Prices!$A$2:$A$106,$A45,Prices!$L$2:$L$106,"Y",Prices!$Y$2:$Y$106,"&gt;0")</f>
        <v>60.39</v>
      </c>
      <c r="K45" s="8" t="str">
        <f aca="false">IFERROR(INDEX(Prices!$B$2:$B$106,MATCH($A45&amp;"|"&amp;TEXT($H45,"0.0000")&amp;"|Y",Prices!$Z$2:$Z$106,0)),"none")</f>
        <v>Core Electronics</v>
      </c>
      <c r="L45" s="8" t="str">
        <f aca="false">IFERROR(INDEX(Prices!$B$2:$B$106,MATCH($A45&amp;"|"&amp;TEXT($J45,"0.0000")&amp;"|Y",Prices!$AA$2:$AA$106,0)),"none")</f>
        <v>Core Electronics</v>
      </c>
      <c r="M45" s="8" t="str">
        <f aca="false">IF($G45=0,"NO PRICE",IF($G45=1,"Single source",""))</f>
        <v/>
      </c>
    </row>
    <row r="46" customFormat="false" ht="15" hidden="false" customHeight="false" outlineLevel="0" collapsed="false">
      <c r="A46" s="8" t="s">
        <v>208</v>
      </c>
      <c r="B46" s="8" t="s">
        <v>22</v>
      </c>
      <c r="C46" s="8" t="s">
        <v>209</v>
      </c>
      <c r="D46" s="8" t="s">
        <v>210</v>
      </c>
      <c r="E46" s="12" t="n">
        <v>3</v>
      </c>
      <c r="F46" s="8" t="s">
        <v>207</v>
      </c>
      <c r="G46" s="8" t="n">
        <f aca="false">COUNTIFS(Prices!$A$2:$A$106,$A46,Prices!$L$2:$L$106,"Y",Prices!$E$2:$E$106,"&gt;0")</f>
        <v>1</v>
      </c>
      <c r="H46" s="7" t="n">
        <f aca="false">_xlfn.MINIFS(Prices!$W$2:$W$106,Prices!$A$2:$A$106,$A46,Prices!$L$2:$L$106,"Y",Prices!$W$2:$W$106,"&gt;0")</f>
        <v>161.403</v>
      </c>
      <c r="I46" s="7" t="n">
        <f aca="false">_xlfn.MINIFS(Prices!$X$2:$X$106,Prices!$A$2:$A$106,$A46,Prices!$L$2:$L$106,"Y",Prices!$X$2:$X$106,"&gt;0")</f>
        <v>156.585</v>
      </c>
      <c r="J46" s="7" t="n">
        <f aca="false">_xlfn.MINIFS(Prices!$Y$2:$Y$106,Prices!$A$2:$A$106,$A46,Prices!$L$2:$L$106,"Y",Prices!$Y$2:$Y$106,"&gt;0")</f>
        <v>146.883</v>
      </c>
      <c r="K46" s="8" t="str">
        <f aca="false">IFERROR(INDEX(Prices!$B$2:$B$106,MATCH($A46&amp;"|"&amp;TEXT($H46,"0.0000")&amp;"|Y",Prices!$Z$2:$Z$106,0)),"none")</f>
        <v>Core Electronics</v>
      </c>
      <c r="L46" s="8" t="str">
        <f aca="false">IFERROR(INDEX(Prices!$B$2:$B$106,MATCH($A46&amp;"|"&amp;TEXT($J46,"0.0000")&amp;"|Y",Prices!$AA$2:$AA$106,0)),"none")</f>
        <v>Core Electronics</v>
      </c>
      <c r="M46" s="8" t="str">
        <f aca="false">IF($G46=0,"NO PRICE",IF($G46=1,"Single source",""))</f>
        <v>Single source</v>
      </c>
    </row>
    <row r="47" customFormat="false" ht="15" hidden="false" customHeight="false" outlineLevel="0" collapsed="false">
      <c r="A47" s="8" t="s">
        <v>211</v>
      </c>
      <c r="B47" s="8" t="s">
        <v>22</v>
      </c>
      <c r="C47" s="8" t="s">
        <v>212</v>
      </c>
      <c r="D47" s="8" t="s">
        <v>213</v>
      </c>
      <c r="E47" s="12" t="n">
        <v>1</v>
      </c>
      <c r="F47" s="8" t="s">
        <v>214</v>
      </c>
      <c r="G47" s="8" t="n">
        <f aca="false">COUNTIFS(Prices!$A$2:$A$106,$A47,Prices!$L$2:$L$106,"Y",Prices!$E$2:$E$106,"&gt;0")</f>
        <v>1</v>
      </c>
      <c r="H47" s="7" t="n">
        <f aca="false">_xlfn.MINIFS(Prices!$W$2:$W$106,Prices!$A$2:$A$106,$A47,Prices!$L$2:$L$106,"Y",Prices!$W$2:$W$106,"&gt;0")</f>
        <v>10.197</v>
      </c>
      <c r="I47" s="7" t="n">
        <f aca="false">_xlfn.MINIFS(Prices!$X$2:$X$106,Prices!$A$2:$A$106,$A47,Prices!$L$2:$L$106,"Y",Prices!$X$2:$X$106,"&gt;0")</f>
        <v>9.889</v>
      </c>
      <c r="J47" s="7" t="n">
        <f aca="false">_xlfn.MINIFS(Prices!$Y$2:$Y$106,Prices!$A$2:$A$106,$A47,Prices!$L$2:$L$106,"Y",Prices!$Y$2:$Y$106,"&gt;0")</f>
        <v>9.691</v>
      </c>
      <c r="K47" s="8" t="str">
        <f aca="false">IFERROR(INDEX(Prices!$B$2:$B$106,MATCH($A47&amp;"|"&amp;TEXT($H47,"0.0000")&amp;"|Y",Prices!$Z$2:$Z$106,0)),"none")</f>
        <v>Core Electronics</v>
      </c>
      <c r="L47" s="8" t="str">
        <f aca="false">IFERROR(INDEX(Prices!$B$2:$B$106,MATCH($A47&amp;"|"&amp;TEXT($J47,"0.0000")&amp;"|Y",Prices!$AA$2:$AA$106,0)),"none")</f>
        <v>Core Electronics</v>
      </c>
      <c r="M47" s="8" t="str">
        <f aca="false">IF($G47=0,"NO PRICE",IF($G47=1,"Single source",""))</f>
        <v>Single source</v>
      </c>
    </row>
    <row r="48" customFormat="false" ht="15" hidden="false" customHeight="false" outlineLevel="0" collapsed="false">
      <c r="A48" s="8" t="s">
        <v>215</v>
      </c>
      <c r="B48" s="8" t="s">
        <v>22</v>
      </c>
      <c r="C48" s="8" t="s">
        <v>216</v>
      </c>
      <c r="D48" s="8" t="s">
        <v>217</v>
      </c>
      <c r="E48" s="12" t="n">
        <v>5</v>
      </c>
      <c r="F48" s="8" t="s">
        <v>218</v>
      </c>
      <c r="G48" s="8" t="n">
        <f aca="false">COUNTIFS(Prices!$A$2:$A$106,$A48,Prices!$L$2:$L$106,"Y",Prices!$E$2:$E$106,"&gt;0")</f>
        <v>1</v>
      </c>
      <c r="H48" s="7" t="n">
        <f aca="false">_xlfn.MINIFS(Prices!$W$2:$W$106,Prices!$A$2:$A$106,$A48,Prices!$L$2:$L$106,"Y",Prices!$W$2:$W$106,"&gt;0")</f>
        <v>98.329</v>
      </c>
      <c r="I48" s="7" t="n">
        <f aca="false">_xlfn.MINIFS(Prices!$X$2:$X$106,Prices!$A$2:$A$106,$A48,Prices!$L$2:$L$106,"Y",Prices!$X$2:$X$106,"&gt;0")</f>
        <v>19.6658</v>
      </c>
      <c r="J48" s="7" t="n">
        <f aca="false">_xlfn.MINIFS(Prices!$Y$2:$Y$106,Prices!$A$2:$A$106,$A48,Prices!$L$2:$L$106,"Y",Prices!$Y$2:$Y$106,"&gt;0")</f>
        <v>16.71593</v>
      </c>
      <c r="K48" s="8" t="str">
        <f aca="false">IFERROR(INDEX(Prices!$B$2:$B$106,MATCH($A48&amp;"|"&amp;TEXT($H48,"0.0000")&amp;"|Y",Prices!$Z$2:$Z$106,0)),"none")</f>
        <v>RS Components Australia</v>
      </c>
      <c r="L48" s="8" t="str">
        <f aca="false">IFERROR(INDEX(Prices!$B$2:$B$106,MATCH($A48&amp;"|"&amp;TEXT($J48,"0.0000")&amp;"|Y",Prices!$AA$2:$AA$106,0)),"none")</f>
        <v>RS Components Australia</v>
      </c>
      <c r="M48" s="8" t="str">
        <f aca="false">IF($G48=0,"NO PRICE",IF($G48=1,"Single source",""))</f>
        <v>Single source</v>
      </c>
    </row>
    <row r="49" customFormat="false" ht="15" hidden="false" customHeight="false" outlineLevel="0" collapsed="false">
      <c r="A49" s="8" t="s">
        <v>219</v>
      </c>
      <c r="B49" s="8" t="s">
        <v>22</v>
      </c>
      <c r="C49" s="8" t="s">
        <v>220</v>
      </c>
      <c r="D49" s="8" t="s">
        <v>221</v>
      </c>
      <c r="E49" s="12" t="n">
        <v>2</v>
      </c>
      <c r="F49" s="8" t="s">
        <v>207</v>
      </c>
      <c r="G49" s="8" t="n">
        <f aca="false">COUNTIFS(Prices!$A$2:$A$106,$A49,Prices!$L$2:$L$106,"Y",Prices!$E$2:$E$106,"&gt;0")</f>
        <v>1</v>
      </c>
      <c r="H49" s="7" t="n">
        <f aca="false">_xlfn.MINIFS(Prices!$W$2:$W$106,Prices!$A$2:$A$106,$A49,Prices!$L$2:$L$106,"Y",Prices!$W$2:$W$106,"&gt;0")</f>
        <v>16.698</v>
      </c>
      <c r="I49" s="7" t="n">
        <f aca="false">_xlfn.MINIFS(Prices!$X$2:$X$106,Prices!$A$2:$A$106,$A49,Prices!$L$2:$L$106,"Y",Prices!$X$2:$X$106,"&gt;0")</f>
        <v>16.192</v>
      </c>
      <c r="J49" s="7" t="n">
        <f aca="false">_xlfn.MINIFS(Prices!$Y$2:$Y$106,Prices!$A$2:$A$106,$A49,Prices!$L$2:$L$106,"Y",Prices!$Y$2:$Y$106,"&gt;0")</f>
        <v>15.862</v>
      </c>
      <c r="K49" s="8" t="str">
        <f aca="false">IFERROR(INDEX(Prices!$B$2:$B$106,MATCH($A49&amp;"|"&amp;TEXT($H49,"0.0000")&amp;"|Y",Prices!$Z$2:$Z$106,0)),"none")</f>
        <v>Core Electronics</v>
      </c>
      <c r="L49" s="8" t="str">
        <f aca="false">IFERROR(INDEX(Prices!$B$2:$B$106,MATCH($A49&amp;"|"&amp;TEXT($J49,"0.0000")&amp;"|Y",Prices!$AA$2:$AA$106,0)),"none")</f>
        <v>Core Electronics</v>
      </c>
      <c r="M49" s="8" t="str">
        <f aca="false">IF($G49=0,"NO PRICE",IF($G49=1,"Single source",""))</f>
        <v>Single source</v>
      </c>
    </row>
    <row r="50" customFormat="false" ht="15" hidden="false" customHeight="false" outlineLevel="0" collapsed="false">
      <c r="A50" s="8" t="s">
        <v>222</v>
      </c>
      <c r="B50" s="8" t="s">
        <v>23</v>
      </c>
      <c r="C50" s="8" t="s">
        <v>223</v>
      </c>
      <c r="D50" s="8" t="s">
        <v>224</v>
      </c>
      <c r="E50" s="12" t="n">
        <v>1</v>
      </c>
      <c r="F50" s="8" t="s">
        <v>185</v>
      </c>
      <c r="G50" s="8" t="n">
        <f aca="false">COUNTIFS(Prices!$A$2:$A$106,$A50,Prices!$L$2:$L$106,"Y",Prices!$E$2:$E$106,"&gt;0")</f>
        <v>1</v>
      </c>
      <c r="H50" s="7" t="n">
        <f aca="false">_xlfn.MINIFS(Prices!$W$2:$W$106,Prices!$A$2:$A$106,$A50,Prices!$L$2:$L$106,"Y",Prices!$W$2:$W$106,"&gt;0")</f>
        <v>5.401</v>
      </c>
      <c r="I50" s="7" t="n">
        <f aca="false">_xlfn.MINIFS(Prices!$X$2:$X$106,Prices!$A$2:$A$106,$A50,Prices!$L$2:$L$106,"Y",Prices!$X$2:$X$106,"&gt;0")</f>
        <v>5.236</v>
      </c>
      <c r="J50" s="7" t="n">
        <f aca="false">_xlfn.MINIFS(Prices!$Y$2:$Y$106,Prices!$A$2:$A$106,$A50,Prices!$L$2:$L$106,"Y",Prices!$Y$2:$Y$106,"&gt;0")</f>
        <v>5.126</v>
      </c>
      <c r="K50" s="8" t="str">
        <f aca="false">IFERROR(INDEX(Prices!$B$2:$B$106,MATCH($A50&amp;"|"&amp;TEXT($H50,"0.0000")&amp;"|Y",Prices!$Z$2:$Z$106,0)),"none")</f>
        <v>Core Electronics</v>
      </c>
      <c r="L50" s="8" t="str">
        <f aca="false">IFERROR(INDEX(Prices!$B$2:$B$106,MATCH($A50&amp;"|"&amp;TEXT($J50,"0.0000")&amp;"|Y",Prices!$AA$2:$AA$106,0)),"none")</f>
        <v>Core Electronics</v>
      </c>
      <c r="M50" s="8" t="str">
        <f aca="false">IF($G50=0,"NO PRICE",IF($G50=1,"Single source",""))</f>
        <v>Single source</v>
      </c>
    </row>
    <row r="51" customFormat="false" ht="15" hidden="false" customHeight="false" outlineLevel="0" collapsed="false">
      <c r="A51" s="8" t="s">
        <v>225</v>
      </c>
      <c r="B51" s="8" t="s">
        <v>23</v>
      </c>
      <c r="C51" s="8" t="s">
        <v>226</v>
      </c>
      <c r="D51" s="8" t="s">
        <v>227</v>
      </c>
      <c r="E51" s="12" t="n">
        <v>1</v>
      </c>
      <c r="F51" s="8" t="s">
        <v>185</v>
      </c>
      <c r="G51" s="8" t="n">
        <f aca="false">COUNTIFS(Prices!$A$2:$A$106,$A51,Prices!$L$2:$L$106,"Y",Prices!$E$2:$E$106,"&gt;0")</f>
        <v>2</v>
      </c>
      <c r="H51" s="7" t="n">
        <f aca="false">_xlfn.MINIFS(Prices!$W$2:$W$106,Prices!$A$2:$A$106,$A51,Prices!$L$2:$L$106,"Y",Prices!$W$2:$W$106,"&gt;0")</f>
        <v>0.814</v>
      </c>
      <c r="I51" s="7" t="n">
        <f aca="false">_xlfn.MINIFS(Prices!$X$2:$X$106,Prices!$A$2:$A$106,$A51,Prices!$L$2:$L$106,"Y",Prices!$X$2:$X$106,"&gt;0")</f>
        <v>0.6094</v>
      </c>
      <c r="J51" s="7" t="n">
        <f aca="false">_xlfn.MINIFS(Prices!$Y$2:$Y$106,Prices!$A$2:$A$106,$A51,Prices!$L$2:$L$106,"Y",Prices!$Y$2:$Y$106,"&gt;0")</f>
        <v>0.5632</v>
      </c>
      <c r="K51" s="8" t="str">
        <f aca="false">IFERROR(INDEX(Prices!$B$2:$B$106,MATCH($A51&amp;"|"&amp;TEXT($H51,"0.0000")&amp;"|Y",Prices!$Z$2:$Z$106,0)),"none")</f>
        <v>element14 Australia</v>
      </c>
      <c r="L51" s="8" t="str">
        <f aca="false">IFERROR(INDEX(Prices!$B$2:$B$106,MATCH($A51&amp;"|"&amp;TEXT($J51,"0.0000")&amp;"|Y",Prices!$AA$2:$AA$106,0)),"none")</f>
        <v>element14 Australia</v>
      </c>
      <c r="M51" s="8" t="str">
        <f aca="false">IF($G51=0,"NO PRICE",IF($G51=1,"Single source",""))</f>
        <v/>
      </c>
    </row>
    <row r="52" customFormat="false" ht="15" hidden="false" customHeight="false" outlineLevel="0" collapsed="false">
      <c r="A52" s="8" t="s">
        <v>228</v>
      </c>
      <c r="B52" s="8" t="s">
        <v>23</v>
      </c>
      <c r="C52" s="8" t="s">
        <v>229</v>
      </c>
      <c r="D52" s="8" t="s">
        <v>230</v>
      </c>
      <c r="E52" s="12" t="n">
        <v>1</v>
      </c>
      <c r="F52" s="8" t="s">
        <v>23</v>
      </c>
      <c r="G52" s="8" t="n">
        <f aca="false">COUNTIFS(Prices!$A$2:$A$106,$A52,Prices!$L$2:$L$106,"Y",Prices!$E$2:$E$106,"&gt;0")</f>
        <v>2</v>
      </c>
      <c r="H52" s="7" t="n">
        <f aca="false">_xlfn.MINIFS(Prices!$W$2:$W$106,Prices!$A$2:$A$106,$A52,Prices!$L$2:$L$106,"Y",Prices!$W$2:$W$106,"&gt;0")</f>
        <v>11.9</v>
      </c>
      <c r="I52" s="7" t="n">
        <f aca="false">_xlfn.MINIFS(Prices!$X$2:$X$106,Prices!$A$2:$A$106,$A52,Prices!$L$2:$L$106,"Y",Prices!$X$2:$X$106,"&gt;0")</f>
        <v>11.9</v>
      </c>
      <c r="J52" s="7" t="n">
        <f aca="false">_xlfn.MINIFS(Prices!$Y$2:$Y$106,Prices!$A$2:$A$106,$A52,Prices!$L$2:$L$106,"Y",Prices!$Y$2:$Y$106,"&gt;0")</f>
        <v>11.9</v>
      </c>
      <c r="K52" s="8" t="str">
        <f aca="false">IFERROR(INDEX(Prices!$B$2:$B$106,MATCH($A52&amp;"|"&amp;TEXT($H52,"0.0000")&amp;"|Y",Prices!$Z$2:$Z$106,0)),"none")</f>
        <v>Core Electronics</v>
      </c>
      <c r="L52" s="8" t="str">
        <f aca="false">IFERROR(INDEX(Prices!$B$2:$B$106,MATCH($A52&amp;"|"&amp;TEXT($J52,"0.0000")&amp;"|Y",Prices!$AA$2:$AA$106,0)),"none")</f>
        <v>Core Electronics</v>
      </c>
      <c r="M52" s="8" t="str">
        <f aca="false">IF($G52=0,"NO PRICE",IF($G52=1,"Single source",""))</f>
        <v/>
      </c>
    </row>
    <row r="53" customFormat="false" ht="15" hidden="false" customHeight="false" outlineLevel="0" collapsed="false">
      <c r="A53" s="8" t="s">
        <v>231</v>
      </c>
      <c r="B53" s="8" t="s">
        <v>24</v>
      </c>
      <c r="C53" s="8" t="s">
        <v>232</v>
      </c>
      <c r="D53" s="8"/>
      <c r="E53" s="12" t="n">
        <v>1</v>
      </c>
      <c r="F53" s="8" t="s">
        <v>233</v>
      </c>
      <c r="G53" s="8" t="n">
        <f aca="false">COUNTIFS(Prices!$A$2:$A$106,$A53,Prices!$L$2:$L$106,"Y",Prices!$E$2:$E$106,"&gt;0")</f>
        <v>2</v>
      </c>
      <c r="H53" s="7" t="n">
        <f aca="false">_xlfn.MINIFS(Prices!$W$2:$W$106,Prices!$A$2:$A$106,$A53,Prices!$L$2:$L$106,"Y",Prices!$W$2:$W$106,"&gt;0")</f>
        <v>6.545</v>
      </c>
      <c r="I53" s="7" t="n">
        <f aca="false">_xlfn.MINIFS(Prices!$X$2:$X$106,Prices!$A$2:$A$106,$A53,Prices!$L$2:$L$106,"Y",Prices!$X$2:$X$106,"&gt;0")</f>
        <v>5.896</v>
      </c>
      <c r="J53" s="7" t="n">
        <f aca="false">_xlfn.MINIFS(Prices!$Y$2:$Y$106,Prices!$A$2:$A$106,$A53,Prices!$L$2:$L$106,"Y",Prices!$Y$2:$Y$106,"&gt;0")</f>
        <v>5.566</v>
      </c>
      <c r="K53" s="8" t="str">
        <f aca="false">IFERROR(INDEX(Prices!$B$2:$B$106,MATCH($A53&amp;"|"&amp;TEXT($H53,"0.0000")&amp;"|Y",Prices!$Z$2:$Z$106,0)),"none")</f>
        <v>Core Electronics</v>
      </c>
      <c r="L53" s="8" t="str">
        <f aca="false">IFERROR(INDEX(Prices!$B$2:$B$106,MATCH($A53&amp;"|"&amp;TEXT($J53,"0.0000")&amp;"|Y",Prices!$AA$2:$AA$106,0)),"none")</f>
        <v>Core Electronics</v>
      </c>
      <c r="M53" s="8" t="str">
        <f aca="false">IF($G53=0,"NO PRICE",IF($G53=1,"Single source",""))</f>
        <v/>
      </c>
    </row>
    <row r="54" customFormat="false" ht="15" hidden="false" customHeight="false" outlineLevel="0" collapsed="false">
      <c r="A54" s="8" t="s">
        <v>234</v>
      </c>
      <c r="B54" s="8" t="s">
        <v>24</v>
      </c>
      <c r="C54" s="8" t="s">
        <v>235</v>
      </c>
      <c r="D54" s="8" t="s">
        <v>236</v>
      </c>
      <c r="E54" s="12" t="n">
        <v>2</v>
      </c>
      <c r="F54" s="8" t="s">
        <v>233</v>
      </c>
      <c r="G54" s="8" t="n">
        <f aca="false">COUNTIFS(Prices!$A$2:$A$106,$A54,Prices!$L$2:$L$106,"Y",Prices!$E$2:$E$106,"&gt;0")</f>
        <v>2</v>
      </c>
      <c r="H54" s="7" t="n">
        <f aca="false">_xlfn.MINIFS(Prices!$W$2:$W$106,Prices!$A$2:$A$106,$A54,Prices!$L$2:$L$106,"Y",Prices!$W$2:$W$106,"&gt;0")</f>
        <v>3.6</v>
      </c>
      <c r="I54" s="7" t="n">
        <f aca="false">_xlfn.MINIFS(Prices!$X$2:$X$106,Prices!$A$2:$A$106,$A54,Prices!$L$2:$L$106,"Y",Prices!$X$2:$X$106,"&gt;0")</f>
        <v>3.6</v>
      </c>
      <c r="J54" s="7" t="n">
        <f aca="false">_xlfn.MINIFS(Prices!$Y$2:$Y$106,Prices!$A$2:$A$106,$A54,Prices!$L$2:$L$106,"Y",Prices!$Y$2:$Y$106,"&gt;0")</f>
        <v>3.6</v>
      </c>
      <c r="K54" s="8" t="str">
        <f aca="false">IFERROR(INDEX(Prices!$B$2:$B$106,MATCH($A54&amp;"|"&amp;TEXT($H54,"0.0000")&amp;"|Y",Prices!$Z$2:$Z$106,0)),"none")</f>
        <v>Core Electronics</v>
      </c>
      <c r="L54" s="8" t="str">
        <f aca="false">IFERROR(INDEX(Prices!$B$2:$B$106,MATCH($A54&amp;"|"&amp;TEXT($J54,"0.0000")&amp;"|Y",Prices!$AA$2:$AA$106,0)),"none")</f>
        <v>Core Electronics</v>
      </c>
      <c r="M54" s="8" t="str">
        <f aca="false">IF($G54=0,"NO PRICE",IF($G54=1,"Single source",""))</f>
        <v/>
      </c>
    </row>
    <row r="55" customFormat="false" ht="15" hidden="false" customHeight="false" outlineLevel="0" collapsed="false">
      <c r="A55" s="4" t="s">
        <v>237</v>
      </c>
      <c r="H55" s="13" t="n">
        <f aca="false">SUM(H2:H54)</f>
        <v>655.3066</v>
      </c>
      <c r="I55" s="13" t="n">
        <f aca="false">SUM(I2:I54)</f>
        <v>509.5845</v>
      </c>
      <c r="J55" s="13" t="n">
        <f aca="false">SUM(J2:J54)</f>
        <v>478.27793</v>
      </c>
    </row>
    <row r="56" customFormat="false" ht="15" hidden="false" customHeight="false" outlineLevel="0" collapsed="false">
      <c r="A56" s="8" t="s">
        <v>238</v>
      </c>
      <c r="E56" s="8" t="n">
        <f aca="false">SUMIFS(E2:E54,A2:A54,"IC*")</f>
        <v>9</v>
      </c>
    </row>
  </sheetData>
  <autoFilter ref="A1:M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22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30"/>
    <col collapsed="false" customWidth="true" hidden="false" outlineLevel="0" max="15" min="15" style="0" width="60"/>
    <col collapsed="false" customWidth="true" hidden="false" outlineLevel="0" max="19" min="16" style="0" width="7"/>
    <col collapsed="false" customWidth="true" hidden="false" outlineLevel="0" max="25" min="20" style="0" width="10"/>
    <col collapsed="false" customWidth="true" hidden="false" outlineLevel="0" max="27" min="26" style="0" width="18"/>
  </cols>
  <sheetData>
    <row r="1" customFormat="false" ht="64.9" hidden="false" customHeight="false" outlineLevel="0" collapsed="false">
      <c r="A1" s="11" t="s">
        <v>51</v>
      </c>
      <c r="B1" s="11" t="s">
        <v>239</v>
      </c>
      <c r="C1" s="11" t="s">
        <v>240</v>
      </c>
      <c r="D1" s="11" t="s">
        <v>241</v>
      </c>
      <c r="E1" s="11" t="s">
        <v>242</v>
      </c>
      <c r="F1" s="11" t="s">
        <v>243</v>
      </c>
      <c r="G1" s="11" t="s">
        <v>244</v>
      </c>
      <c r="H1" s="11" t="s">
        <v>245</v>
      </c>
      <c r="I1" s="11" t="s">
        <v>246</v>
      </c>
      <c r="J1" s="11" t="s">
        <v>247</v>
      </c>
      <c r="K1" s="11" t="s">
        <v>248</v>
      </c>
      <c r="L1" s="11" t="s">
        <v>249</v>
      </c>
      <c r="M1" s="11" t="s">
        <v>250</v>
      </c>
      <c r="N1" s="11" t="s">
        <v>251</v>
      </c>
      <c r="O1" s="11" t="s">
        <v>252</v>
      </c>
      <c r="P1" s="11" t="s">
        <v>54</v>
      </c>
      <c r="Q1" s="11" t="s">
        <v>253</v>
      </c>
      <c r="R1" s="11" t="s">
        <v>254</v>
      </c>
      <c r="S1" s="11" t="s">
        <v>255</v>
      </c>
      <c r="T1" s="11" t="s">
        <v>256</v>
      </c>
      <c r="U1" s="11" t="s">
        <v>257</v>
      </c>
      <c r="V1" s="11" t="s">
        <v>258</v>
      </c>
      <c r="W1" s="11" t="s">
        <v>57</v>
      </c>
      <c r="X1" s="11" t="s">
        <v>58</v>
      </c>
      <c r="Y1" s="11" t="s">
        <v>59</v>
      </c>
      <c r="Z1" s="11" t="s">
        <v>259</v>
      </c>
      <c r="AA1" s="11" t="s">
        <v>260</v>
      </c>
    </row>
    <row r="2" customFormat="false" ht="15" hidden="false" customHeight="false" outlineLevel="0" collapsed="false">
      <c r="A2" s="8" t="s">
        <v>63</v>
      </c>
      <c r="B2" s="8" t="s">
        <v>261</v>
      </c>
      <c r="C2" s="8" t="s">
        <v>262</v>
      </c>
      <c r="D2" s="12" t="n">
        <v>1</v>
      </c>
      <c r="E2" s="14" t="n">
        <v>1.15</v>
      </c>
      <c r="F2" s="12" t="n">
        <v>10</v>
      </c>
      <c r="G2" s="14" t="n">
        <v>0.821</v>
      </c>
      <c r="H2" s="12" t="n">
        <v>100</v>
      </c>
      <c r="I2" s="14" t="n">
        <v>0.647</v>
      </c>
      <c r="J2" s="12" t="s">
        <v>263</v>
      </c>
      <c r="K2" s="8" t="s">
        <v>264</v>
      </c>
      <c r="L2" s="12" t="s">
        <v>265</v>
      </c>
      <c r="M2" s="8" t="s">
        <v>266</v>
      </c>
      <c r="N2" s="15" t="s">
        <v>267</v>
      </c>
      <c r="O2" s="8" t="s">
        <v>268</v>
      </c>
      <c r="P2" s="8" t="n">
        <f aca="false">IFERROR(VLOOKUP($A2,BOM!$A$2:$E$54,5,0),0)</f>
        <v>1</v>
      </c>
      <c r="Q2" s="8" t="n">
        <f aca="false">CEILING($P2*Assumptions!$B$4/$D2,1)</f>
        <v>1</v>
      </c>
      <c r="R2" s="8" t="n">
        <f aca="false">CEILING($P2*Assumptions!$B$5/$D2,1)</f>
        <v>10</v>
      </c>
      <c r="S2" s="8" t="n">
        <f aca="false">CEILING($P2*Assumptions!$B$6/$D2,1)</f>
        <v>100</v>
      </c>
      <c r="T2" s="7" t="n">
        <f aca="false">IF(ISNUMBER($E2),IF(AND(ISNUMBER($I2),ISNUMBER($H2)),IF($H2&lt;=$Q2,$I2,IF(AND(ISNUMBER($G2),ISNUMBER($F2)),IF($F2&lt;=$Q2,$G2,$E2),$E2)),IF(AND(ISNUMBER($G2),ISNUMBER($F2)),IF($F2&lt;=$Q2,$G2,$E2),$E2))*(1+IF($J2="Y",0,Assumptions!$B$3)),"")</f>
        <v>1.265</v>
      </c>
      <c r="U2" s="7" t="n">
        <f aca="false">IF(ISNUMBER($E2),IF(AND(ISNUMBER($I2),ISNUMBER($H2)),IF($H2&lt;=$R2,$I2,IF(AND(ISNUMBER($G2),ISNUMBER($F2)),IF($F2&lt;=$R2,$G2,$E2),$E2)),IF(AND(ISNUMBER($G2),ISNUMBER($F2)),IF($F2&lt;=$R2,$G2,$E2),$E2))*(1+IF($J2="Y",0,Assumptions!$B$3)),"")</f>
        <v>0.9031</v>
      </c>
      <c r="V2" s="7" t="n">
        <f aca="false">IF(ISNUMBER($E2),IF(AND(ISNUMBER($I2),ISNUMBER($H2)),IF($H2&lt;=$S2,$I2,IF(AND(ISNUMBER($G2),ISNUMBER($F2)),IF($F2&lt;=$S2,$G2,$E2),$E2)),IF(AND(ISNUMBER($G2),ISNUMBER($F2)),IF($F2&lt;=$S2,$G2,$E2),$E2))*(1+IF($J2="Y",0,Assumptions!$B$3)),"")</f>
        <v>0.7117</v>
      </c>
      <c r="W2" s="7" t="n">
        <f aca="false">IF(ISNUMBER($T2),$Q2*$T2/Assumptions!$B$4,"")</f>
        <v>1.265</v>
      </c>
      <c r="X2" s="7" t="n">
        <f aca="false">IF(ISNUMBER($U2),$R2*$U2/Assumptions!$B$5,"")</f>
        <v>0.9031</v>
      </c>
      <c r="Y2" s="7" t="n">
        <f aca="false">IF(ISNUMBER($V2),$S2*$V2/Assumptions!$B$6,"")</f>
        <v>0.7117</v>
      </c>
      <c r="Z2" s="8" t="str">
        <f aca="false">$A2&amp;"|"&amp;IF(ISNUMBER($W2),TEXT($W2,"0.0000"),"x")&amp;"|"&amp;$L2</f>
        <v>H00|1.2650|Y</v>
      </c>
      <c r="AA2" s="8" t="str">
        <f aca="false">$A2&amp;"|"&amp;IF(ISNUMBER($Y2),TEXT($Y2,"0.0000"),"x")&amp;"|"&amp;$L2</f>
        <v>H00|0.7117|Y</v>
      </c>
    </row>
    <row r="3" customFormat="false" ht="15" hidden="false" customHeight="false" outlineLevel="0" collapsed="false">
      <c r="A3" s="8" t="s">
        <v>63</v>
      </c>
      <c r="B3" s="8" t="s">
        <v>269</v>
      </c>
      <c r="C3" s="8" t="s">
        <v>64</v>
      </c>
      <c r="D3" s="12" t="n">
        <v>1</v>
      </c>
      <c r="E3" s="14" t="n">
        <v>1.95</v>
      </c>
      <c r="F3" s="12" t="n">
        <v>10</v>
      </c>
      <c r="G3" s="14" t="n">
        <v>1.7</v>
      </c>
      <c r="H3" s="12" t="n">
        <v>25</v>
      </c>
      <c r="I3" s="14" t="n">
        <v>1.6</v>
      </c>
      <c r="J3" s="12" t="s">
        <v>265</v>
      </c>
      <c r="K3" s="8" t="s">
        <v>270</v>
      </c>
      <c r="L3" s="12" t="s">
        <v>265</v>
      </c>
      <c r="M3" s="8" t="s">
        <v>266</v>
      </c>
      <c r="N3" s="15" t="s">
        <v>271</v>
      </c>
      <c r="O3" s="8" t="s">
        <v>272</v>
      </c>
      <c r="P3" s="8" t="n">
        <f aca="false">IFERROR(VLOOKUP($A3,BOM!$A$2:$E$54,5,0),0)</f>
        <v>1</v>
      </c>
      <c r="Q3" s="8" t="n">
        <f aca="false">CEILING($P3*Assumptions!$B$4/$D3,1)</f>
        <v>1</v>
      </c>
      <c r="R3" s="8" t="n">
        <f aca="false">CEILING($P3*Assumptions!$B$5/$D3,1)</f>
        <v>10</v>
      </c>
      <c r="S3" s="8" t="n">
        <f aca="false">CEILING($P3*Assumptions!$B$6/$D3,1)</f>
        <v>100</v>
      </c>
      <c r="T3" s="7" t="n">
        <f aca="false">IF(ISNUMBER($E3),IF(AND(ISNUMBER($I3),ISNUMBER($H3)),IF($H3&lt;=$Q3,$I3,IF(AND(ISNUMBER($G3),ISNUMBER($F3)),IF($F3&lt;=$Q3,$G3,$E3),$E3)),IF(AND(ISNUMBER($G3),ISNUMBER($F3)),IF($F3&lt;=$Q3,$G3,$E3),$E3))*(1+IF($J3="Y",0,Assumptions!$B$3)),"")</f>
        <v>1.95</v>
      </c>
      <c r="U3" s="7" t="n">
        <f aca="false">IF(ISNUMBER($E3),IF(AND(ISNUMBER($I3),ISNUMBER($H3)),IF($H3&lt;=$R3,$I3,IF(AND(ISNUMBER($G3),ISNUMBER($F3)),IF($F3&lt;=$R3,$G3,$E3),$E3)),IF(AND(ISNUMBER($G3),ISNUMBER($F3)),IF($F3&lt;=$R3,$G3,$E3),$E3))*(1+IF($J3="Y",0,Assumptions!$B$3)),"")</f>
        <v>1.7</v>
      </c>
      <c r="V3" s="7" t="n">
        <f aca="false">IF(ISNUMBER($E3),IF(AND(ISNUMBER($I3),ISNUMBER($H3)),IF($H3&lt;=$S3,$I3,IF(AND(ISNUMBER($G3),ISNUMBER($F3)),IF($F3&lt;=$S3,$G3,$E3),$E3)),IF(AND(ISNUMBER($G3),ISNUMBER($F3)),IF($F3&lt;=$S3,$G3,$E3),$E3))*(1+IF($J3="Y",0,Assumptions!$B$3)),"")</f>
        <v>1.6</v>
      </c>
      <c r="W3" s="7" t="n">
        <f aca="false">IF(ISNUMBER($T3),$Q3*$T3/Assumptions!$B$4,"")</f>
        <v>1.95</v>
      </c>
      <c r="X3" s="7" t="n">
        <f aca="false">IF(ISNUMBER($U3),$R3*$U3/Assumptions!$B$5,"")</f>
        <v>1.7</v>
      </c>
      <c r="Y3" s="7" t="n">
        <f aca="false">IF(ISNUMBER($V3),$S3*$V3/Assumptions!$B$6,"")</f>
        <v>1.6</v>
      </c>
      <c r="Z3" s="8" t="str">
        <f aca="false">$A3&amp;"|"&amp;IF(ISNUMBER($W3),TEXT($W3,"0.0000"),"x")&amp;"|"&amp;$L3</f>
        <v>H00|1.9500|Y</v>
      </c>
      <c r="AA3" s="8" t="str">
        <f aca="false">$A3&amp;"|"&amp;IF(ISNUMBER($Y3),TEXT($Y3,"0.0000"),"x")&amp;"|"&amp;$L3</f>
        <v>H00|1.6000|Y</v>
      </c>
    </row>
    <row r="4" customFormat="false" ht="15" hidden="false" customHeight="false" outlineLevel="0" collapsed="false">
      <c r="A4" s="8" t="s">
        <v>67</v>
      </c>
      <c r="B4" s="8" t="s">
        <v>261</v>
      </c>
      <c r="C4" s="8" t="s">
        <v>273</v>
      </c>
      <c r="D4" s="12" t="n">
        <v>1</v>
      </c>
      <c r="E4" s="14" t="n">
        <v>1.06</v>
      </c>
      <c r="F4" s="12" t="n">
        <v>10</v>
      </c>
      <c r="G4" s="14" t="n">
        <v>0.754</v>
      </c>
      <c r="H4" s="12" t="n">
        <v>100</v>
      </c>
      <c r="I4" s="14" t="n">
        <v>0.597</v>
      </c>
      <c r="J4" s="12" t="s">
        <v>263</v>
      </c>
      <c r="K4" s="8" t="s">
        <v>274</v>
      </c>
      <c r="L4" s="12" t="s">
        <v>265</v>
      </c>
      <c r="M4" s="8" t="s">
        <v>266</v>
      </c>
      <c r="N4" s="15" t="s">
        <v>275</v>
      </c>
      <c r="O4" s="8" t="s">
        <v>276</v>
      </c>
      <c r="P4" s="8" t="n">
        <f aca="false">IFERROR(VLOOKUP($A4,BOM!$A$2:$E$54,5,0),0)</f>
        <v>1</v>
      </c>
      <c r="Q4" s="8" t="n">
        <f aca="false">CEILING($P4*Assumptions!$B$4/$D4,1)</f>
        <v>1</v>
      </c>
      <c r="R4" s="8" t="n">
        <f aca="false">CEILING($P4*Assumptions!$B$5/$D4,1)</f>
        <v>10</v>
      </c>
      <c r="S4" s="8" t="n">
        <f aca="false">CEILING($P4*Assumptions!$B$6/$D4,1)</f>
        <v>100</v>
      </c>
      <c r="T4" s="7" t="n">
        <f aca="false">IF(ISNUMBER($E4),IF(AND(ISNUMBER($I4),ISNUMBER($H4)),IF($H4&lt;=$Q4,$I4,IF(AND(ISNUMBER($G4),ISNUMBER($F4)),IF($F4&lt;=$Q4,$G4,$E4),$E4)),IF(AND(ISNUMBER($G4),ISNUMBER($F4)),IF($F4&lt;=$Q4,$G4,$E4),$E4))*(1+IF($J4="Y",0,Assumptions!$B$3)),"")</f>
        <v>1.166</v>
      </c>
      <c r="U4" s="7" t="n">
        <f aca="false">IF(ISNUMBER($E4),IF(AND(ISNUMBER($I4),ISNUMBER($H4)),IF($H4&lt;=$R4,$I4,IF(AND(ISNUMBER($G4),ISNUMBER($F4)),IF($F4&lt;=$R4,$G4,$E4),$E4)),IF(AND(ISNUMBER($G4),ISNUMBER($F4)),IF($F4&lt;=$R4,$G4,$E4),$E4))*(1+IF($J4="Y",0,Assumptions!$B$3)),"")</f>
        <v>0.8294</v>
      </c>
      <c r="V4" s="7" t="n">
        <f aca="false">IF(ISNUMBER($E4),IF(AND(ISNUMBER($I4),ISNUMBER($H4)),IF($H4&lt;=$S4,$I4,IF(AND(ISNUMBER($G4),ISNUMBER($F4)),IF($F4&lt;=$S4,$G4,$E4),$E4)),IF(AND(ISNUMBER($G4),ISNUMBER($F4)),IF($F4&lt;=$S4,$G4,$E4),$E4))*(1+IF($J4="Y",0,Assumptions!$B$3)),"")</f>
        <v>0.6567</v>
      </c>
      <c r="W4" s="7" t="n">
        <f aca="false">IF(ISNUMBER($T4),$Q4*$T4/Assumptions!$B$4,"")</f>
        <v>1.166</v>
      </c>
      <c r="X4" s="7" t="n">
        <f aca="false">IF(ISNUMBER($U4),$R4*$U4/Assumptions!$B$5,"")</f>
        <v>0.8294</v>
      </c>
      <c r="Y4" s="7" t="n">
        <f aca="false">IF(ISNUMBER($V4),$S4*$V4/Assumptions!$B$6,"")</f>
        <v>0.6567</v>
      </c>
      <c r="Z4" s="8" t="str">
        <f aca="false">$A4&amp;"|"&amp;IF(ISNUMBER($W4),TEXT($W4,"0.0000"),"x")&amp;"|"&amp;$L4</f>
        <v>H02|1.1660|Y</v>
      </c>
      <c r="AA4" s="8" t="str">
        <f aca="false">$A4&amp;"|"&amp;IF(ISNUMBER($Y4),TEXT($Y4,"0.0000"),"x")&amp;"|"&amp;$L4</f>
        <v>H02|0.6567|Y</v>
      </c>
    </row>
    <row r="5" customFormat="false" ht="15" hidden="false" customHeight="false" outlineLevel="0" collapsed="false">
      <c r="A5" s="8" t="s">
        <v>67</v>
      </c>
      <c r="B5" s="8" t="s">
        <v>269</v>
      </c>
      <c r="C5" s="8" t="s">
        <v>68</v>
      </c>
      <c r="D5" s="12" t="n">
        <v>1</v>
      </c>
      <c r="E5" s="14" t="n">
        <v>0.55</v>
      </c>
      <c r="F5" s="12" t="n">
        <v>10</v>
      </c>
      <c r="G5" s="14" t="n">
        <v>0.5</v>
      </c>
      <c r="H5" s="12" t="n">
        <v>25</v>
      </c>
      <c r="I5" s="14" t="n">
        <v>0.45</v>
      </c>
      <c r="J5" s="12" t="s">
        <v>265</v>
      </c>
      <c r="K5" s="8" t="s">
        <v>270</v>
      </c>
      <c r="L5" s="12" t="s">
        <v>265</v>
      </c>
      <c r="M5" s="8" t="s">
        <v>266</v>
      </c>
      <c r="N5" s="15" t="s">
        <v>277</v>
      </c>
      <c r="O5" s="8" t="s">
        <v>278</v>
      </c>
      <c r="P5" s="8" t="n">
        <f aca="false">IFERROR(VLOOKUP($A5,BOM!$A$2:$E$54,5,0),0)</f>
        <v>1</v>
      </c>
      <c r="Q5" s="8" t="n">
        <f aca="false">CEILING($P5*Assumptions!$B$4/$D5,1)</f>
        <v>1</v>
      </c>
      <c r="R5" s="8" t="n">
        <f aca="false">CEILING($P5*Assumptions!$B$5/$D5,1)</f>
        <v>10</v>
      </c>
      <c r="S5" s="8" t="n">
        <f aca="false">CEILING($P5*Assumptions!$B$6/$D5,1)</f>
        <v>100</v>
      </c>
      <c r="T5" s="7" t="n">
        <f aca="false">IF(ISNUMBER($E5),IF(AND(ISNUMBER($I5),ISNUMBER($H5)),IF($H5&lt;=$Q5,$I5,IF(AND(ISNUMBER($G5),ISNUMBER($F5)),IF($F5&lt;=$Q5,$G5,$E5),$E5)),IF(AND(ISNUMBER($G5),ISNUMBER($F5)),IF($F5&lt;=$Q5,$G5,$E5),$E5))*(1+IF($J5="Y",0,Assumptions!$B$3)),"")</f>
        <v>0.55</v>
      </c>
      <c r="U5" s="7" t="n">
        <f aca="false">IF(ISNUMBER($E5),IF(AND(ISNUMBER($I5),ISNUMBER($H5)),IF($H5&lt;=$R5,$I5,IF(AND(ISNUMBER($G5),ISNUMBER($F5)),IF($F5&lt;=$R5,$G5,$E5),$E5)),IF(AND(ISNUMBER($G5),ISNUMBER($F5)),IF($F5&lt;=$R5,$G5,$E5),$E5))*(1+IF($J5="Y",0,Assumptions!$B$3)),"")</f>
        <v>0.5</v>
      </c>
      <c r="V5" s="7" t="n">
        <f aca="false">IF(ISNUMBER($E5),IF(AND(ISNUMBER($I5),ISNUMBER($H5)),IF($H5&lt;=$S5,$I5,IF(AND(ISNUMBER($G5),ISNUMBER($F5)),IF($F5&lt;=$S5,$G5,$E5),$E5)),IF(AND(ISNUMBER($G5),ISNUMBER($F5)),IF($F5&lt;=$S5,$G5,$E5),$E5))*(1+IF($J5="Y",0,Assumptions!$B$3)),"")</f>
        <v>0.45</v>
      </c>
      <c r="W5" s="7" t="n">
        <f aca="false">IF(ISNUMBER($T5),$Q5*$T5/Assumptions!$B$4,"")</f>
        <v>0.55</v>
      </c>
      <c r="X5" s="7" t="n">
        <f aca="false">IF(ISNUMBER($U5),$R5*$U5/Assumptions!$B$5,"")</f>
        <v>0.5</v>
      </c>
      <c r="Y5" s="7" t="n">
        <f aca="false">IF(ISNUMBER($V5),$S5*$V5/Assumptions!$B$6,"")</f>
        <v>0.45</v>
      </c>
      <c r="Z5" s="8" t="str">
        <f aca="false">$A5&amp;"|"&amp;IF(ISNUMBER($W5),TEXT($W5,"0.0000"),"x")&amp;"|"&amp;$L5</f>
        <v>H02|0.5500|Y</v>
      </c>
      <c r="AA5" s="8" t="str">
        <f aca="false">$A5&amp;"|"&amp;IF(ISNUMBER($Y5),TEXT($Y5,"0.0000"),"x")&amp;"|"&amp;$L5</f>
        <v>H02|0.4500|Y</v>
      </c>
    </row>
    <row r="6" customFormat="false" ht="15" hidden="false" customHeight="false" outlineLevel="0" collapsed="false">
      <c r="A6" s="8" t="s">
        <v>70</v>
      </c>
      <c r="B6" s="8" t="s">
        <v>261</v>
      </c>
      <c r="C6" s="8" t="s">
        <v>279</v>
      </c>
      <c r="D6" s="12" t="n">
        <v>1</v>
      </c>
      <c r="E6" s="14" t="n">
        <v>1.33</v>
      </c>
      <c r="F6" s="12" t="n">
        <v>10</v>
      </c>
      <c r="G6" s="14" t="n">
        <v>0.961</v>
      </c>
      <c r="H6" s="12" t="n">
        <v>100</v>
      </c>
      <c r="I6" s="14" t="n">
        <v>0.769</v>
      </c>
      <c r="J6" s="12" t="s">
        <v>263</v>
      </c>
      <c r="K6" s="8" t="s">
        <v>280</v>
      </c>
      <c r="L6" s="12" t="s">
        <v>265</v>
      </c>
      <c r="M6" s="8" t="s">
        <v>266</v>
      </c>
      <c r="N6" s="15" t="s">
        <v>281</v>
      </c>
      <c r="O6" s="8" t="s">
        <v>276</v>
      </c>
      <c r="P6" s="8" t="n">
        <f aca="false">IFERROR(VLOOKUP($A6,BOM!$A$2:$E$54,5,0),0)</f>
        <v>2</v>
      </c>
      <c r="Q6" s="8" t="n">
        <f aca="false">CEILING($P6*Assumptions!$B$4/$D6,1)</f>
        <v>2</v>
      </c>
      <c r="R6" s="8" t="n">
        <f aca="false">CEILING($P6*Assumptions!$B$5/$D6,1)</f>
        <v>20</v>
      </c>
      <c r="S6" s="8" t="n">
        <f aca="false">CEILING($P6*Assumptions!$B$6/$D6,1)</f>
        <v>200</v>
      </c>
      <c r="T6" s="7" t="n">
        <f aca="false">IF(ISNUMBER($E6),IF(AND(ISNUMBER($I6),ISNUMBER($H6)),IF($H6&lt;=$Q6,$I6,IF(AND(ISNUMBER($G6),ISNUMBER($F6)),IF($F6&lt;=$Q6,$G6,$E6),$E6)),IF(AND(ISNUMBER($G6),ISNUMBER($F6)),IF($F6&lt;=$Q6,$G6,$E6),$E6))*(1+IF($J6="Y",0,Assumptions!$B$3)),"")</f>
        <v>1.463</v>
      </c>
      <c r="U6" s="7" t="n">
        <f aca="false">IF(ISNUMBER($E6),IF(AND(ISNUMBER($I6),ISNUMBER($H6)),IF($H6&lt;=$R6,$I6,IF(AND(ISNUMBER($G6),ISNUMBER($F6)),IF($F6&lt;=$R6,$G6,$E6),$E6)),IF(AND(ISNUMBER($G6),ISNUMBER($F6)),IF($F6&lt;=$R6,$G6,$E6),$E6))*(1+IF($J6="Y",0,Assumptions!$B$3)),"")</f>
        <v>1.0571</v>
      </c>
      <c r="V6" s="7" t="n">
        <f aca="false">IF(ISNUMBER($E6),IF(AND(ISNUMBER($I6),ISNUMBER($H6)),IF($H6&lt;=$S6,$I6,IF(AND(ISNUMBER($G6),ISNUMBER($F6)),IF($F6&lt;=$S6,$G6,$E6),$E6)),IF(AND(ISNUMBER($G6),ISNUMBER($F6)),IF($F6&lt;=$S6,$G6,$E6),$E6))*(1+IF($J6="Y",0,Assumptions!$B$3)),"")</f>
        <v>0.8459</v>
      </c>
      <c r="W6" s="7" t="n">
        <f aca="false">IF(ISNUMBER($T6),$Q6*$T6/Assumptions!$B$4,"")</f>
        <v>2.926</v>
      </c>
      <c r="X6" s="7" t="n">
        <f aca="false">IF(ISNUMBER($U6),$R6*$U6/Assumptions!$B$5,"")</f>
        <v>2.1142</v>
      </c>
      <c r="Y6" s="7" t="n">
        <f aca="false">IF(ISNUMBER($V6),$S6*$V6/Assumptions!$B$6,"")</f>
        <v>1.6918</v>
      </c>
      <c r="Z6" s="8" t="str">
        <f aca="false">$A6&amp;"|"&amp;IF(ISNUMBER($W6),TEXT($W6,"0.0000"),"x")&amp;"|"&amp;$L6</f>
        <v>H04|2.9260|Y</v>
      </c>
      <c r="AA6" s="8" t="str">
        <f aca="false">$A6&amp;"|"&amp;IF(ISNUMBER($Y6),TEXT($Y6,"0.0000"),"x")&amp;"|"&amp;$L6</f>
        <v>H04|1.6918|Y</v>
      </c>
    </row>
    <row r="7" customFormat="false" ht="15" hidden="false" customHeight="false" outlineLevel="0" collapsed="false">
      <c r="A7" s="8" t="s">
        <v>70</v>
      </c>
      <c r="B7" s="8" t="s">
        <v>269</v>
      </c>
      <c r="C7" s="8" t="s">
        <v>71</v>
      </c>
      <c r="D7" s="12" t="n">
        <v>1</v>
      </c>
      <c r="E7" s="14" t="n">
        <v>0.66</v>
      </c>
      <c r="F7" s="12" t="n">
        <v>10</v>
      </c>
      <c r="G7" s="14" t="n">
        <v>0.6</v>
      </c>
      <c r="H7" s="12" t="n">
        <v>25</v>
      </c>
      <c r="I7" s="14" t="n">
        <v>0.48</v>
      </c>
      <c r="J7" s="12" t="s">
        <v>265</v>
      </c>
      <c r="K7" s="8" t="s">
        <v>270</v>
      </c>
      <c r="L7" s="12" t="s">
        <v>265</v>
      </c>
      <c r="M7" s="8" t="s">
        <v>266</v>
      </c>
      <c r="N7" s="15" t="s">
        <v>282</v>
      </c>
      <c r="O7" s="8" t="s">
        <v>283</v>
      </c>
      <c r="P7" s="8" t="n">
        <f aca="false">IFERROR(VLOOKUP($A7,BOM!$A$2:$E$54,5,0),0)</f>
        <v>2</v>
      </c>
      <c r="Q7" s="8" t="n">
        <f aca="false">CEILING($P7*Assumptions!$B$4/$D7,1)</f>
        <v>2</v>
      </c>
      <c r="R7" s="8" t="n">
        <f aca="false">CEILING($P7*Assumptions!$B$5/$D7,1)</f>
        <v>20</v>
      </c>
      <c r="S7" s="8" t="n">
        <f aca="false">CEILING($P7*Assumptions!$B$6/$D7,1)</f>
        <v>200</v>
      </c>
      <c r="T7" s="7" t="n">
        <f aca="false">IF(ISNUMBER($E7),IF(AND(ISNUMBER($I7),ISNUMBER($H7)),IF($H7&lt;=$Q7,$I7,IF(AND(ISNUMBER($G7),ISNUMBER($F7)),IF($F7&lt;=$Q7,$G7,$E7),$E7)),IF(AND(ISNUMBER($G7),ISNUMBER($F7)),IF($F7&lt;=$Q7,$G7,$E7),$E7))*(1+IF($J7="Y",0,Assumptions!$B$3)),"")</f>
        <v>0.66</v>
      </c>
      <c r="U7" s="7" t="n">
        <f aca="false">IF(ISNUMBER($E7),IF(AND(ISNUMBER($I7),ISNUMBER($H7)),IF($H7&lt;=$R7,$I7,IF(AND(ISNUMBER($G7),ISNUMBER($F7)),IF($F7&lt;=$R7,$G7,$E7),$E7)),IF(AND(ISNUMBER($G7),ISNUMBER($F7)),IF($F7&lt;=$R7,$G7,$E7),$E7))*(1+IF($J7="Y",0,Assumptions!$B$3)),"")</f>
        <v>0.6</v>
      </c>
      <c r="V7" s="7" t="n">
        <f aca="false">IF(ISNUMBER($E7),IF(AND(ISNUMBER($I7),ISNUMBER($H7)),IF($H7&lt;=$S7,$I7,IF(AND(ISNUMBER($G7),ISNUMBER($F7)),IF($F7&lt;=$S7,$G7,$E7),$E7)),IF(AND(ISNUMBER($G7),ISNUMBER($F7)),IF($F7&lt;=$S7,$G7,$E7),$E7))*(1+IF($J7="Y",0,Assumptions!$B$3)),"")</f>
        <v>0.48</v>
      </c>
      <c r="W7" s="7" t="n">
        <f aca="false">IF(ISNUMBER($T7),$Q7*$T7/Assumptions!$B$4,"")</f>
        <v>1.32</v>
      </c>
      <c r="X7" s="7" t="n">
        <f aca="false">IF(ISNUMBER($U7),$R7*$U7/Assumptions!$B$5,"")</f>
        <v>1.2</v>
      </c>
      <c r="Y7" s="7" t="n">
        <f aca="false">IF(ISNUMBER($V7),$S7*$V7/Assumptions!$B$6,"")</f>
        <v>0.96</v>
      </c>
      <c r="Z7" s="8" t="str">
        <f aca="false">$A7&amp;"|"&amp;IF(ISNUMBER($W7),TEXT($W7,"0.0000"),"x")&amp;"|"&amp;$L7</f>
        <v>H04|1.3200|Y</v>
      </c>
      <c r="AA7" s="8" t="str">
        <f aca="false">$A7&amp;"|"&amp;IF(ISNUMBER($Y7),TEXT($Y7,"0.0000"),"x")&amp;"|"&amp;$L7</f>
        <v>H04|0.9600|Y</v>
      </c>
    </row>
    <row r="8" customFormat="false" ht="15" hidden="false" customHeight="false" outlineLevel="0" collapsed="false">
      <c r="A8" s="8" t="s">
        <v>73</v>
      </c>
      <c r="B8" s="8" t="s">
        <v>284</v>
      </c>
      <c r="C8" s="8" t="s">
        <v>285</v>
      </c>
      <c r="D8" s="12" t="n">
        <v>1</v>
      </c>
      <c r="E8" s="14" t="n">
        <v>1.9</v>
      </c>
      <c r="F8" s="12" t="n">
        <v>10</v>
      </c>
      <c r="G8" s="14"/>
      <c r="H8" s="12" t="n">
        <v>25</v>
      </c>
      <c r="I8" s="14"/>
      <c r="J8" s="12" t="s">
        <v>265</v>
      </c>
      <c r="K8" s="8" t="s">
        <v>286</v>
      </c>
      <c r="L8" s="12" t="s">
        <v>265</v>
      </c>
      <c r="M8" s="8" t="s">
        <v>266</v>
      </c>
      <c r="N8" s="15" t="s">
        <v>287</v>
      </c>
      <c r="O8" s="8" t="s">
        <v>288</v>
      </c>
      <c r="P8" s="8" t="n">
        <f aca="false">IFERROR(VLOOKUP($A8,BOM!$A$2:$E$54,5,0),0)</f>
        <v>2</v>
      </c>
      <c r="Q8" s="8" t="n">
        <f aca="false">CEILING($P8*Assumptions!$B$4/$D8,1)</f>
        <v>2</v>
      </c>
      <c r="R8" s="8" t="n">
        <f aca="false">CEILING($P8*Assumptions!$B$5/$D8,1)</f>
        <v>20</v>
      </c>
      <c r="S8" s="8" t="n">
        <f aca="false">CEILING($P8*Assumptions!$B$6/$D8,1)</f>
        <v>200</v>
      </c>
      <c r="T8" s="7" t="n">
        <f aca="false">IF(ISNUMBER($E8),IF(AND(ISNUMBER($I8),ISNUMBER($H8)),IF($H8&lt;=$Q8,$I8,IF(AND(ISNUMBER($G8),ISNUMBER($F8)),IF($F8&lt;=$Q8,$G8,$E8),$E8)),IF(AND(ISNUMBER($G8),ISNUMBER($F8)),IF($F8&lt;=$Q8,$G8,$E8),$E8))*(1+IF($J8="Y",0,Assumptions!$B$3)),"")</f>
        <v>1.9</v>
      </c>
      <c r="U8" s="7" t="n">
        <f aca="false">IF(ISNUMBER($E8),IF(AND(ISNUMBER($I8),ISNUMBER($H8)),IF($H8&lt;=$R8,$I8,IF(AND(ISNUMBER($G8),ISNUMBER($F8)),IF($F8&lt;=$R8,$G8,$E8),$E8)),IF(AND(ISNUMBER($G8),ISNUMBER($F8)),IF($F8&lt;=$R8,$G8,$E8),$E8))*(1+IF($J8="Y",0,Assumptions!$B$3)),"")</f>
        <v>1.9</v>
      </c>
      <c r="V8" s="7" t="n">
        <f aca="false">IF(ISNUMBER($E8),IF(AND(ISNUMBER($I8),ISNUMBER($H8)),IF($H8&lt;=$S8,$I8,IF(AND(ISNUMBER($G8),ISNUMBER($F8)),IF($F8&lt;=$S8,$G8,$E8),$E8)),IF(AND(ISNUMBER($G8),ISNUMBER($F8)),IF($F8&lt;=$S8,$G8,$E8),$E8))*(1+IF($J8="Y",0,Assumptions!$B$3)),"")</f>
        <v>1.9</v>
      </c>
      <c r="W8" s="7" t="n">
        <f aca="false">IF(ISNUMBER($T8),$Q8*$T8/Assumptions!$B$4,"")</f>
        <v>3.8</v>
      </c>
      <c r="X8" s="7" t="n">
        <f aca="false">IF(ISNUMBER($U8),$R8*$U8/Assumptions!$B$5,"")</f>
        <v>3.8</v>
      </c>
      <c r="Y8" s="7" t="n">
        <f aca="false">IF(ISNUMBER($V8),$S8*$V8/Assumptions!$B$6,"")</f>
        <v>3.8</v>
      </c>
      <c r="Z8" s="8" t="str">
        <f aca="false">$A8&amp;"|"&amp;IF(ISNUMBER($W8),TEXT($W8,"0.0000"),"x")&amp;"|"&amp;$L8</f>
        <v>H08|3.8000|Y</v>
      </c>
      <c r="AA8" s="8" t="str">
        <f aca="false">$A8&amp;"|"&amp;IF(ISNUMBER($Y8),TEXT($Y8,"0.0000"),"x")&amp;"|"&amp;$L8</f>
        <v>H08|3.8000|Y</v>
      </c>
    </row>
    <row r="9" customFormat="false" ht="15" hidden="false" customHeight="false" outlineLevel="0" collapsed="false">
      <c r="A9" s="8" t="s">
        <v>73</v>
      </c>
      <c r="B9" s="8" t="s">
        <v>261</v>
      </c>
      <c r="C9" s="8" t="s">
        <v>289</v>
      </c>
      <c r="D9" s="12" t="n">
        <v>1</v>
      </c>
      <c r="E9" s="14" t="n">
        <v>1.41</v>
      </c>
      <c r="F9" s="12" t="n">
        <v>10</v>
      </c>
      <c r="G9" s="14" t="n">
        <v>1.02</v>
      </c>
      <c r="H9" s="12" t="n">
        <v>100</v>
      </c>
      <c r="I9" s="14" t="n">
        <v>0.808</v>
      </c>
      <c r="J9" s="12" t="s">
        <v>263</v>
      </c>
      <c r="K9" s="8" t="s">
        <v>290</v>
      </c>
      <c r="L9" s="12" t="s">
        <v>265</v>
      </c>
      <c r="M9" s="8" t="s">
        <v>266</v>
      </c>
      <c r="N9" s="15" t="s">
        <v>291</v>
      </c>
      <c r="O9" s="8" t="s">
        <v>276</v>
      </c>
      <c r="P9" s="8" t="n">
        <f aca="false">IFERROR(VLOOKUP($A9,BOM!$A$2:$E$54,5,0),0)</f>
        <v>2</v>
      </c>
      <c r="Q9" s="8" t="n">
        <f aca="false">CEILING($P9*Assumptions!$B$4/$D9,1)</f>
        <v>2</v>
      </c>
      <c r="R9" s="8" t="n">
        <f aca="false">CEILING($P9*Assumptions!$B$5/$D9,1)</f>
        <v>20</v>
      </c>
      <c r="S9" s="8" t="n">
        <f aca="false">CEILING($P9*Assumptions!$B$6/$D9,1)</f>
        <v>200</v>
      </c>
      <c r="T9" s="7" t="n">
        <f aca="false">IF(ISNUMBER($E9),IF(AND(ISNUMBER($I9),ISNUMBER($H9)),IF($H9&lt;=$Q9,$I9,IF(AND(ISNUMBER($G9),ISNUMBER($F9)),IF($F9&lt;=$Q9,$G9,$E9),$E9)),IF(AND(ISNUMBER($G9),ISNUMBER($F9)),IF($F9&lt;=$Q9,$G9,$E9),$E9))*(1+IF($J9="Y",0,Assumptions!$B$3)),"")</f>
        <v>1.551</v>
      </c>
      <c r="U9" s="7" t="n">
        <f aca="false">IF(ISNUMBER($E9),IF(AND(ISNUMBER($I9),ISNUMBER($H9)),IF($H9&lt;=$R9,$I9,IF(AND(ISNUMBER($G9),ISNUMBER($F9)),IF($F9&lt;=$R9,$G9,$E9),$E9)),IF(AND(ISNUMBER($G9),ISNUMBER($F9)),IF($F9&lt;=$R9,$G9,$E9),$E9))*(1+IF($J9="Y",0,Assumptions!$B$3)),"")</f>
        <v>1.122</v>
      </c>
      <c r="V9" s="7" t="n">
        <f aca="false">IF(ISNUMBER($E9),IF(AND(ISNUMBER($I9),ISNUMBER($H9)),IF($H9&lt;=$S9,$I9,IF(AND(ISNUMBER($G9),ISNUMBER($F9)),IF($F9&lt;=$S9,$G9,$E9),$E9)),IF(AND(ISNUMBER($G9),ISNUMBER($F9)),IF($F9&lt;=$S9,$G9,$E9),$E9))*(1+IF($J9="Y",0,Assumptions!$B$3)),"")</f>
        <v>0.8888</v>
      </c>
      <c r="W9" s="7" t="n">
        <f aca="false">IF(ISNUMBER($T9),$Q9*$T9/Assumptions!$B$4,"")</f>
        <v>3.102</v>
      </c>
      <c r="X9" s="7" t="n">
        <f aca="false">IF(ISNUMBER($U9),$R9*$U9/Assumptions!$B$5,"")</f>
        <v>2.244</v>
      </c>
      <c r="Y9" s="7" t="n">
        <f aca="false">IF(ISNUMBER($V9),$S9*$V9/Assumptions!$B$6,"")</f>
        <v>1.7776</v>
      </c>
      <c r="Z9" s="8" t="str">
        <f aca="false">$A9&amp;"|"&amp;IF(ISNUMBER($W9),TEXT($W9,"0.0000"),"x")&amp;"|"&amp;$L9</f>
        <v>H08|3.1020|Y</v>
      </c>
      <c r="AA9" s="8" t="str">
        <f aca="false">$A9&amp;"|"&amp;IF(ISNUMBER($Y9),TEXT($Y9,"0.0000"),"x")&amp;"|"&amp;$L9</f>
        <v>H08|1.7776|Y</v>
      </c>
    </row>
    <row r="10" customFormat="false" ht="15" hidden="false" customHeight="false" outlineLevel="0" collapsed="false">
      <c r="A10" s="8" t="s">
        <v>73</v>
      </c>
      <c r="B10" s="8" t="s">
        <v>292</v>
      </c>
      <c r="C10" s="8" t="s">
        <v>293</v>
      </c>
      <c r="D10" s="12" t="n">
        <v>1</v>
      </c>
      <c r="E10" s="14" t="n">
        <v>1.37</v>
      </c>
      <c r="F10" s="12" t="n">
        <v>10</v>
      </c>
      <c r="G10" s="14" t="n">
        <v>0.89</v>
      </c>
      <c r="H10" s="12" t="n">
        <v>100</v>
      </c>
      <c r="I10" s="14" t="n">
        <v>0.739</v>
      </c>
      <c r="J10" s="12" t="s">
        <v>263</v>
      </c>
      <c r="K10" s="8" t="s">
        <v>294</v>
      </c>
      <c r="L10" s="12" t="s">
        <v>265</v>
      </c>
      <c r="M10" s="8" t="s">
        <v>266</v>
      </c>
      <c r="N10" s="15" t="s">
        <v>295</v>
      </c>
      <c r="O10" s="8" t="s">
        <v>296</v>
      </c>
      <c r="P10" s="8" t="n">
        <f aca="false">IFERROR(VLOOKUP($A10,BOM!$A$2:$E$54,5,0),0)</f>
        <v>2</v>
      </c>
      <c r="Q10" s="8" t="n">
        <f aca="false">CEILING($P10*Assumptions!$B$4/$D10,1)</f>
        <v>2</v>
      </c>
      <c r="R10" s="8" t="n">
        <f aca="false">CEILING($P10*Assumptions!$B$5/$D10,1)</f>
        <v>20</v>
      </c>
      <c r="S10" s="8" t="n">
        <f aca="false">CEILING($P10*Assumptions!$B$6/$D10,1)</f>
        <v>200</v>
      </c>
      <c r="T10" s="7" t="n">
        <f aca="false">IF(ISNUMBER($E10),IF(AND(ISNUMBER($I10),ISNUMBER($H10)),IF($H10&lt;=$Q10,$I10,IF(AND(ISNUMBER($G10),ISNUMBER($F10)),IF($F10&lt;=$Q10,$G10,$E10),$E10)),IF(AND(ISNUMBER($G10),ISNUMBER($F10)),IF($F10&lt;=$Q10,$G10,$E10),$E10))*(1+IF($J10="Y",0,Assumptions!$B$3)),"")</f>
        <v>1.507</v>
      </c>
      <c r="U10" s="7" t="n">
        <f aca="false">IF(ISNUMBER($E10),IF(AND(ISNUMBER($I10),ISNUMBER($H10)),IF($H10&lt;=$R10,$I10,IF(AND(ISNUMBER($G10),ISNUMBER($F10)),IF($F10&lt;=$R10,$G10,$E10),$E10)),IF(AND(ISNUMBER($G10),ISNUMBER($F10)),IF($F10&lt;=$R10,$G10,$E10),$E10))*(1+IF($J10="Y",0,Assumptions!$B$3)),"")</f>
        <v>0.979</v>
      </c>
      <c r="V10" s="7" t="n">
        <f aca="false">IF(ISNUMBER($E10),IF(AND(ISNUMBER($I10),ISNUMBER($H10)),IF($H10&lt;=$S10,$I10,IF(AND(ISNUMBER($G10),ISNUMBER($F10)),IF($F10&lt;=$S10,$G10,$E10),$E10)),IF(AND(ISNUMBER($G10),ISNUMBER($F10)),IF($F10&lt;=$S10,$G10,$E10),$E10))*(1+IF($J10="Y",0,Assumptions!$B$3)),"")</f>
        <v>0.8129</v>
      </c>
      <c r="W10" s="7" t="n">
        <f aca="false">IF(ISNUMBER($T10),$Q10*$T10/Assumptions!$B$4,"")</f>
        <v>3.014</v>
      </c>
      <c r="X10" s="7" t="n">
        <f aca="false">IF(ISNUMBER($U10),$R10*$U10/Assumptions!$B$5,"")</f>
        <v>1.958</v>
      </c>
      <c r="Y10" s="7" t="n">
        <f aca="false">IF(ISNUMBER($V10),$S10*$V10/Assumptions!$B$6,"")</f>
        <v>1.6258</v>
      </c>
      <c r="Z10" s="8" t="str">
        <f aca="false">$A10&amp;"|"&amp;IF(ISNUMBER($W10),TEXT($W10,"0.0000"),"x")&amp;"|"&amp;$L10</f>
        <v>H08|3.0140|Y</v>
      </c>
      <c r="AA10" s="8" t="str">
        <f aca="false">$A10&amp;"|"&amp;IF(ISNUMBER($Y10),TEXT($Y10,"0.0000"),"x")&amp;"|"&amp;$L10</f>
        <v>H08|1.6258|Y</v>
      </c>
    </row>
    <row r="11" customFormat="false" ht="15" hidden="false" customHeight="false" outlineLevel="0" collapsed="false">
      <c r="A11" s="8" t="s">
        <v>76</v>
      </c>
      <c r="B11" s="8" t="s">
        <v>261</v>
      </c>
      <c r="C11" s="8" t="s">
        <v>297</v>
      </c>
      <c r="D11" s="12" t="n">
        <v>1</v>
      </c>
      <c r="E11" s="14" t="n">
        <v>1.36</v>
      </c>
      <c r="F11" s="12" t="n">
        <v>10</v>
      </c>
      <c r="G11" s="14" t="n">
        <v>0.999</v>
      </c>
      <c r="H11" s="12" t="n">
        <v>100</v>
      </c>
      <c r="I11" s="14" t="n">
        <v>0.799</v>
      </c>
      <c r="J11" s="12" t="s">
        <v>263</v>
      </c>
      <c r="K11" s="8" t="s">
        <v>298</v>
      </c>
      <c r="L11" s="12" t="s">
        <v>265</v>
      </c>
      <c r="M11" s="8" t="s">
        <v>266</v>
      </c>
      <c r="N11" s="15" t="s">
        <v>299</v>
      </c>
      <c r="O11" s="8" t="s">
        <v>276</v>
      </c>
      <c r="P11" s="8" t="n">
        <f aca="false">IFERROR(VLOOKUP($A11,BOM!$A$2:$E$54,5,0),0)</f>
        <v>1</v>
      </c>
      <c r="Q11" s="8" t="n">
        <f aca="false">CEILING($P11*Assumptions!$B$4/$D11,1)</f>
        <v>1</v>
      </c>
      <c r="R11" s="8" t="n">
        <f aca="false">CEILING($P11*Assumptions!$B$5/$D11,1)</f>
        <v>10</v>
      </c>
      <c r="S11" s="8" t="n">
        <f aca="false">CEILING($P11*Assumptions!$B$6/$D11,1)</f>
        <v>100</v>
      </c>
      <c r="T11" s="7" t="n">
        <f aca="false">IF(ISNUMBER($E11),IF(AND(ISNUMBER($I11),ISNUMBER($H11)),IF($H11&lt;=$Q11,$I11,IF(AND(ISNUMBER($G11),ISNUMBER($F11)),IF($F11&lt;=$Q11,$G11,$E11),$E11)),IF(AND(ISNUMBER($G11),ISNUMBER($F11)),IF($F11&lt;=$Q11,$G11,$E11),$E11))*(1+IF($J11="Y",0,Assumptions!$B$3)),"")</f>
        <v>1.496</v>
      </c>
      <c r="U11" s="7" t="n">
        <f aca="false">IF(ISNUMBER($E11),IF(AND(ISNUMBER($I11),ISNUMBER($H11)),IF($H11&lt;=$R11,$I11,IF(AND(ISNUMBER($G11),ISNUMBER($F11)),IF($F11&lt;=$R11,$G11,$E11),$E11)),IF(AND(ISNUMBER($G11),ISNUMBER($F11)),IF($F11&lt;=$R11,$G11,$E11),$E11))*(1+IF($J11="Y",0,Assumptions!$B$3)),"")</f>
        <v>1.0989</v>
      </c>
      <c r="V11" s="7" t="n">
        <f aca="false">IF(ISNUMBER($E11),IF(AND(ISNUMBER($I11),ISNUMBER($H11)),IF($H11&lt;=$S11,$I11,IF(AND(ISNUMBER($G11),ISNUMBER($F11)),IF($F11&lt;=$S11,$G11,$E11),$E11)),IF(AND(ISNUMBER($G11),ISNUMBER($F11)),IF($F11&lt;=$S11,$G11,$E11),$E11))*(1+IF($J11="Y",0,Assumptions!$B$3)),"")</f>
        <v>0.8789</v>
      </c>
      <c r="W11" s="7" t="n">
        <f aca="false">IF(ISNUMBER($T11),$Q11*$T11/Assumptions!$B$4,"")</f>
        <v>1.496</v>
      </c>
      <c r="X11" s="7" t="n">
        <f aca="false">IF(ISNUMBER($U11),$R11*$U11/Assumptions!$B$5,"")</f>
        <v>1.0989</v>
      </c>
      <c r="Y11" s="7" t="n">
        <f aca="false">IF(ISNUMBER($V11),$S11*$V11/Assumptions!$B$6,"")</f>
        <v>0.8789</v>
      </c>
      <c r="Z11" s="8" t="str">
        <f aca="false">$A11&amp;"|"&amp;IF(ISNUMBER($W11),TEXT($W11,"0.0000"),"x")&amp;"|"&amp;$L11</f>
        <v>H32|1.4960|Y</v>
      </c>
      <c r="AA11" s="8" t="str">
        <f aca="false">$A11&amp;"|"&amp;IF(ISNUMBER($Y11),TEXT($Y11,"0.0000"),"x")&amp;"|"&amp;$L11</f>
        <v>H32|0.8789|Y</v>
      </c>
    </row>
    <row r="12" customFormat="false" ht="15" hidden="false" customHeight="false" outlineLevel="0" collapsed="false">
      <c r="A12" s="8" t="s">
        <v>76</v>
      </c>
      <c r="B12" s="8" t="s">
        <v>269</v>
      </c>
      <c r="C12" s="8" t="s">
        <v>77</v>
      </c>
      <c r="D12" s="12" t="n">
        <v>1</v>
      </c>
      <c r="E12" s="14" t="n">
        <v>0.66</v>
      </c>
      <c r="F12" s="12" t="n">
        <v>10</v>
      </c>
      <c r="G12" s="14" t="n">
        <v>0.6</v>
      </c>
      <c r="H12" s="12" t="n">
        <v>25</v>
      </c>
      <c r="I12" s="14" t="n">
        <v>0.48</v>
      </c>
      <c r="J12" s="12" t="s">
        <v>265</v>
      </c>
      <c r="K12" s="8" t="s">
        <v>270</v>
      </c>
      <c r="L12" s="12" t="s">
        <v>265</v>
      </c>
      <c r="M12" s="8" t="s">
        <v>266</v>
      </c>
      <c r="N12" s="15" t="s">
        <v>300</v>
      </c>
      <c r="O12" s="8" t="s">
        <v>301</v>
      </c>
      <c r="P12" s="8" t="n">
        <f aca="false">IFERROR(VLOOKUP($A12,BOM!$A$2:$E$54,5,0),0)</f>
        <v>1</v>
      </c>
      <c r="Q12" s="8" t="n">
        <f aca="false">CEILING($P12*Assumptions!$B$4/$D12,1)</f>
        <v>1</v>
      </c>
      <c r="R12" s="8" t="n">
        <f aca="false">CEILING($P12*Assumptions!$B$5/$D12,1)</f>
        <v>10</v>
      </c>
      <c r="S12" s="8" t="n">
        <f aca="false">CEILING($P12*Assumptions!$B$6/$D12,1)</f>
        <v>100</v>
      </c>
      <c r="T12" s="7" t="n">
        <f aca="false">IF(ISNUMBER($E12),IF(AND(ISNUMBER($I12),ISNUMBER($H12)),IF($H12&lt;=$Q12,$I12,IF(AND(ISNUMBER($G12),ISNUMBER($F12)),IF($F12&lt;=$Q12,$G12,$E12),$E12)),IF(AND(ISNUMBER($G12),ISNUMBER($F12)),IF($F12&lt;=$Q12,$G12,$E12),$E12))*(1+IF($J12="Y",0,Assumptions!$B$3)),"")</f>
        <v>0.66</v>
      </c>
      <c r="U12" s="7" t="n">
        <f aca="false">IF(ISNUMBER($E12),IF(AND(ISNUMBER($I12),ISNUMBER($H12)),IF($H12&lt;=$R12,$I12,IF(AND(ISNUMBER($G12),ISNUMBER($F12)),IF($F12&lt;=$R12,$G12,$E12),$E12)),IF(AND(ISNUMBER($G12),ISNUMBER($F12)),IF($F12&lt;=$R12,$G12,$E12),$E12))*(1+IF($J12="Y",0,Assumptions!$B$3)),"")</f>
        <v>0.6</v>
      </c>
      <c r="V12" s="7" t="n">
        <f aca="false">IF(ISNUMBER($E12),IF(AND(ISNUMBER($I12),ISNUMBER($H12)),IF($H12&lt;=$S12,$I12,IF(AND(ISNUMBER($G12),ISNUMBER($F12)),IF($F12&lt;=$S12,$G12,$E12),$E12)),IF(AND(ISNUMBER($G12),ISNUMBER($F12)),IF($F12&lt;=$S12,$G12,$E12),$E12))*(1+IF($J12="Y",0,Assumptions!$B$3)),"")</f>
        <v>0.48</v>
      </c>
      <c r="W12" s="7" t="n">
        <f aca="false">IF(ISNUMBER($T12),$Q12*$T12/Assumptions!$B$4,"")</f>
        <v>0.66</v>
      </c>
      <c r="X12" s="7" t="n">
        <f aca="false">IF(ISNUMBER($U12),$R12*$U12/Assumptions!$B$5,"")</f>
        <v>0.6</v>
      </c>
      <c r="Y12" s="7" t="n">
        <f aca="false">IF(ISNUMBER($V12),$S12*$V12/Assumptions!$B$6,"")</f>
        <v>0.48</v>
      </c>
      <c r="Z12" s="8" t="str">
        <f aca="false">$A12&amp;"|"&amp;IF(ISNUMBER($W12),TEXT($W12,"0.0000"),"x")&amp;"|"&amp;$L12</f>
        <v>H32|0.6600|Y</v>
      </c>
      <c r="AA12" s="8" t="str">
        <f aca="false">$A12&amp;"|"&amp;IF(ISNUMBER($Y12),TEXT($Y12,"0.0000"),"x")&amp;"|"&amp;$L12</f>
        <v>H32|0.4800|Y</v>
      </c>
    </row>
    <row r="13" customFormat="false" ht="15" hidden="false" customHeight="false" outlineLevel="0" collapsed="false">
      <c r="A13" s="8" t="s">
        <v>76</v>
      </c>
      <c r="B13" s="8" t="s">
        <v>292</v>
      </c>
      <c r="C13" s="8" t="s">
        <v>302</v>
      </c>
      <c r="D13" s="12" t="n">
        <v>1</v>
      </c>
      <c r="E13" s="14" t="n">
        <v>1.4</v>
      </c>
      <c r="F13" s="12" t="n">
        <v>10</v>
      </c>
      <c r="G13" s="14" t="n">
        <v>0.897</v>
      </c>
      <c r="H13" s="12" t="n">
        <v>100</v>
      </c>
      <c r="I13" s="14" t="n">
        <v>0.739</v>
      </c>
      <c r="J13" s="12" t="s">
        <v>263</v>
      </c>
      <c r="K13" s="8" t="s">
        <v>303</v>
      </c>
      <c r="L13" s="12" t="s">
        <v>265</v>
      </c>
      <c r="M13" s="8" t="s">
        <v>266</v>
      </c>
      <c r="N13" s="15" t="s">
        <v>304</v>
      </c>
      <c r="O13" s="8" t="s">
        <v>305</v>
      </c>
      <c r="P13" s="8" t="n">
        <f aca="false">IFERROR(VLOOKUP($A13,BOM!$A$2:$E$54,5,0),0)</f>
        <v>1</v>
      </c>
      <c r="Q13" s="8" t="n">
        <f aca="false">CEILING($P13*Assumptions!$B$4/$D13,1)</f>
        <v>1</v>
      </c>
      <c r="R13" s="8" t="n">
        <f aca="false">CEILING($P13*Assumptions!$B$5/$D13,1)</f>
        <v>10</v>
      </c>
      <c r="S13" s="8" t="n">
        <f aca="false">CEILING($P13*Assumptions!$B$6/$D13,1)</f>
        <v>100</v>
      </c>
      <c r="T13" s="7" t="n">
        <f aca="false">IF(ISNUMBER($E13),IF(AND(ISNUMBER($I13),ISNUMBER($H13)),IF($H13&lt;=$Q13,$I13,IF(AND(ISNUMBER($G13),ISNUMBER($F13)),IF($F13&lt;=$Q13,$G13,$E13),$E13)),IF(AND(ISNUMBER($G13),ISNUMBER($F13)),IF($F13&lt;=$Q13,$G13,$E13),$E13))*(1+IF($J13="Y",0,Assumptions!$B$3)),"")</f>
        <v>1.54</v>
      </c>
      <c r="U13" s="7" t="n">
        <f aca="false">IF(ISNUMBER($E13),IF(AND(ISNUMBER($I13),ISNUMBER($H13)),IF($H13&lt;=$R13,$I13,IF(AND(ISNUMBER($G13),ISNUMBER($F13)),IF($F13&lt;=$R13,$G13,$E13),$E13)),IF(AND(ISNUMBER($G13),ISNUMBER($F13)),IF($F13&lt;=$R13,$G13,$E13),$E13))*(1+IF($J13="Y",0,Assumptions!$B$3)),"")</f>
        <v>0.9867</v>
      </c>
      <c r="V13" s="7" t="n">
        <f aca="false">IF(ISNUMBER($E13),IF(AND(ISNUMBER($I13),ISNUMBER($H13)),IF($H13&lt;=$S13,$I13,IF(AND(ISNUMBER($G13),ISNUMBER($F13)),IF($F13&lt;=$S13,$G13,$E13),$E13)),IF(AND(ISNUMBER($G13),ISNUMBER($F13)),IF($F13&lt;=$S13,$G13,$E13),$E13))*(1+IF($J13="Y",0,Assumptions!$B$3)),"")</f>
        <v>0.8129</v>
      </c>
      <c r="W13" s="7" t="n">
        <f aca="false">IF(ISNUMBER($T13),$Q13*$T13/Assumptions!$B$4,"")</f>
        <v>1.54</v>
      </c>
      <c r="X13" s="7" t="n">
        <f aca="false">IF(ISNUMBER($U13),$R13*$U13/Assumptions!$B$5,"")</f>
        <v>0.9867</v>
      </c>
      <c r="Y13" s="7" t="n">
        <f aca="false">IF(ISNUMBER($V13),$S13*$V13/Assumptions!$B$6,"")</f>
        <v>0.8129</v>
      </c>
      <c r="Z13" s="8" t="str">
        <f aca="false">$A13&amp;"|"&amp;IF(ISNUMBER($W13),TEXT($W13,"0.0000"),"x")&amp;"|"&amp;$L13</f>
        <v>H32|1.5400|Y</v>
      </c>
      <c r="AA13" s="8" t="str">
        <f aca="false">$A13&amp;"|"&amp;IF(ISNUMBER($Y13),TEXT($Y13,"0.0000"),"x")&amp;"|"&amp;$L13</f>
        <v>H32|0.8129|Y</v>
      </c>
    </row>
    <row r="14" customFormat="false" ht="15" hidden="false" customHeight="false" outlineLevel="0" collapsed="false">
      <c r="A14" s="8" t="s">
        <v>79</v>
      </c>
      <c r="B14" s="8" t="s">
        <v>261</v>
      </c>
      <c r="C14" s="8" t="s">
        <v>306</v>
      </c>
      <c r="D14" s="12" t="n">
        <v>1</v>
      </c>
      <c r="E14" s="14" t="n">
        <v>1.64</v>
      </c>
      <c r="F14" s="12" t="n">
        <v>10</v>
      </c>
      <c r="G14" s="14" t="n">
        <v>1.17</v>
      </c>
      <c r="H14" s="12" t="n">
        <v>100</v>
      </c>
      <c r="I14" s="14" t="n">
        <v>0.924</v>
      </c>
      <c r="J14" s="12" t="s">
        <v>263</v>
      </c>
      <c r="K14" s="8" t="s">
        <v>307</v>
      </c>
      <c r="L14" s="12" t="s">
        <v>265</v>
      </c>
      <c r="M14" s="8" t="s">
        <v>266</v>
      </c>
      <c r="N14" s="15" t="s">
        <v>308</v>
      </c>
      <c r="O14" s="8" t="s">
        <v>309</v>
      </c>
      <c r="P14" s="8" t="n">
        <f aca="false">IFERROR(VLOOKUP($A14,BOM!$A$2:$E$54,5,0),0)</f>
        <v>2</v>
      </c>
      <c r="Q14" s="8" t="n">
        <f aca="false">CEILING($P14*Assumptions!$B$4/$D14,1)</f>
        <v>2</v>
      </c>
      <c r="R14" s="8" t="n">
        <f aca="false">CEILING($P14*Assumptions!$B$5/$D14,1)</f>
        <v>20</v>
      </c>
      <c r="S14" s="8" t="n">
        <f aca="false">CEILING($P14*Assumptions!$B$6/$D14,1)</f>
        <v>200</v>
      </c>
      <c r="T14" s="7" t="n">
        <f aca="false">IF(ISNUMBER($E14),IF(AND(ISNUMBER($I14),ISNUMBER($H14)),IF($H14&lt;=$Q14,$I14,IF(AND(ISNUMBER($G14),ISNUMBER($F14)),IF($F14&lt;=$Q14,$G14,$E14),$E14)),IF(AND(ISNUMBER($G14),ISNUMBER($F14)),IF($F14&lt;=$Q14,$G14,$E14),$E14))*(1+IF($J14="Y",0,Assumptions!$B$3)),"")</f>
        <v>1.804</v>
      </c>
      <c r="U14" s="7" t="n">
        <f aca="false">IF(ISNUMBER($E14),IF(AND(ISNUMBER($I14),ISNUMBER($H14)),IF($H14&lt;=$R14,$I14,IF(AND(ISNUMBER($G14),ISNUMBER($F14)),IF($F14&lt;=$R14,$G14,$E14),$E14)),IF(AND(ISNUMBER($G14),ISNUMBER($F14)),IF($F14&lt;=$R14,$G14,$E14),$E14))*(1+IF($J14="Y",0,Assumptions!$B$3)),"")</f>
        <v>1.287</v>
      </c>
      <c r="V14" s="7" t="n">
        <f aca="false">IF(ISNUMBER($E14),IF(AND(ISNUMBER($I14),ISNUMBER($H14)),IF($H14&lt;=$S14,$I14,IF(AND(ISNUMBER($G14),ISNUMBER($F14)),IF($F14&lt;=$S14,$G14,$E14),$E14)),IF(AND(ISNUMBER($G14),ISNUMBER($F14)),IF($F14&lt;=$S14,$G14,$E14),$E14))*(1+IF($J14="Y",0,Assumptions!$B$3)),"")</f>
        <v>1.0164</v>
      </c>
      <c r="W14" s="7" t="n">
        <f aca="false">IF(ISNUMBER($T14),$Q14*$T14/Assumptions!$B$4,"")</f>
        <v>3.608</v>
      </c>
      <c r="X14" s="7" t="n">
        <f aca="false">IF(ISNUMBER($U14),$R14*$U14/Assumptions!$B$5,"")</f>
        <v>2.574</v>
      </c>
      <c r="Y14" s="7" t="n">
        <f aca="false">IF(ISNUMBER($V14),$S14*$V14/Assumptions!$B$6,"")</f>
        <v>2.0328</v>
      </c>
      <c r="Z14" s="8" t="str">
        <f aca="false">$A14&amp;"|"&amp;IF(ISNUMBER($W14),TEXT($W14,"0.0000"),"x")&amp;"|"&amp;$L14</f>
        <v>H86|3.6080|Y</v>
      </c>
      <c r="AA14" s="8" t="str">
        <f aca="false">$A14&amp;"|"&amp;IF(ISNUMBER($Y14),TEXT($Y14,"0.0000"),"x")&amp;"|"&amp;$L14</f>
        <v>H86|2.0328|Y</v>
      </c>
    </row>
    <row r="15" customFormat="false" ht="15" hidden="false" customHeight="false" outlineLevel="0" collapsed="false">
      <c r="A15" s="16" t="s">
        <v>79</v>
      </c>
      <c r="B15" s="16" t="s">
        <v>292</v>
      </c>
      <c r="C15" s="16" t="s">
        <v>310</v>
      </c>
      <c r="D15" s="17" t="n">
        <v>1</v>
      </c>
      <c r="E15" s="18"/>
      <c r="F15" s="17"/>
      <c r="G15" s="18"/>
      <c r="H15" s="17"/>
      <c r="I15" s="18"/>
      <c r="J15" s="17" t="s">
        <v>263</v>
      </c>
      <c r="K15" s="16"/>
      <c r="L15" s="17" t="s">
        <v>265</v>
      </c>
      <c r="M15" s="16" t="s">
        <v>266</v>
      </c>
      <c r="N15" s="19" t="s">
        <v>311</v>
      </c>
      <c r="O15" s="16" t="s">
        <v>312</v>
      </c>
      <c r="P15" s="8" t="n">
        <f aca="false">IFERROR(VLOOKUP($A15,BOM!$A$2:$E$54,5,0),0)</f>
        <v>2</v>
      </c>
      <c r="Q15" s="8" t="n">
        <f aca="false">CEILING($P15*Assumptions!$B$4/$D15,1)</f>
        <v>2</v>
      </c>
      <c r="R15" s="8" t="n">
        <f aca="false">CEILING($P15*Assumptions!$B$5/$D15,1)</f>
        <v>20</v>
      </c>
      <c r="S15" s="8" t="n">
        <f aca="false">CEILING($P15*Assumptions!$B$6/$D15,1)</f>
        <v>200</v>
      </c>
      <c r="T15" s="7" t="str">
        <f aca="false">IF(ISNUMBER($E15),IF(AND(ISNUMBER($I15),ISNUMBER($H15)),IF($H15&lt;=$Q15,$I15,IF(AND(ISNUMBER($G15),ISNUMBER($F15)),IF($F15&lt;=$Q15,$G15,$E15),$E15)),IF(AND(ISNUMBER($G15),ISNUMBER($F15)),IF($F15&lt;=$Q15,$G15,$E15),$E15))*(1+IF($J15="Y",0,Assumptions!$B$3)),"")</f>
        <v/>
      </c>
      <c r="U15" s="7" t="str">
        <f aca="false">IF(ISNUMBER($E15),IF(AND(ISNUMBER($I15),ISNUMBER($H15)),IF($H15&lt;=$R15,$I15,IF(AND(ISNUMBER($G15),ISNUMBER($F15)),IF($F15&lt;=$R15,$G15,$E15),$E15)),IF(AND(ISNUMBER($G15),ISNUMBER($F15)),IF($F15&lt;=$R15,$G15,$E15),$E15))*(1+IF($J15="Y",0,Assumptions!$B$3)),"")</f>
        <v/>
      </c>
      <c r="V15" s="7" t="str">
        <f aca="false">IF(ISNUMBER($E15),IF(AND(ISNUMBER($I15),ISNUMBER($H15)),IF($H15&lt;=$S15,$I15,IF(AND(ISNUMBER($G15),ISNUMBER($F15)),IF($F15&lt;=$S15,$G15,$E15),$E15)),IF(AND(ISNUMBER($G15),ISNUMBER($F15)),IF($F15&lt;=$S15,$G15,$E15),$E15))*(1+IF($J15="Y",0,Assumptions!$B$3)),"")</f>
        <v/>
      </c>
      <c r="W15" s="7" t="str">
        <f aca="false">IF(ISNUMBER($T15),$Q15*$T15/Assumptions!$B$4,"")</f>
        <v/>
      </c>
      <c r="X15" s="7" t="str">
        <f aca="false">IF(ISNUMBER($U15),$R15*$U15/Assumptions!$B$5,"")</f>
        <v/>
      </c>
      <c r="Y15" s="7" t="str">
        <f aca="false">IF(ISNUMBER($V15),$S15*$V15/Assumptions!$B$6,"")</f>
        <v/>
      </c>
      <c r="Z15" s="8" t="str">
        <f aca="false">$A15&amp;"|"&amp;IF(ISNUMBER($W15),TEXT($W15,"0.0000"),"x")&amp;"|"&amp;$L15</f>
        <v>H86|x|Y</v>
      </c>
      <c r="AA15" s="8" t="str">
        <f aca="false">$A15&amp;"|"&amp;IF(ISNUMBER($Y15),TEXT($Y15,"0.0000"),"x")&amp;"|"&amp;$L15</f>
        <v>H86|x|Y</v>
      </c>
    </row>
    <row r="16" customFormat="false" ht="15" hidden="false" customHeight="false" outlineLevel="0" collapsed="false">
      <c r="A16" s="8" t="s">
        <v>82</v>
      </c>
      <c r="B16" s="8" t="s">
        <v>261</v>
      </c>
      <c r="C16" s="8" t="s">
        <v>313</v>
      </c>
      <c r="D16" s="12" t="n">
        <v>1</v>
      </c>
      <c r="E16" s="14" t="n">
        <v>4.22</v>
      </c>
      <c r="F16" s="12" t="n">
        <v>10</v>
      </c>
      <c r="G16" s="14" t="n">
        <v>3.16</v>
      </c>
      <c r="H16" s="12" t="n">
        <v>100</v>
      </c>
      <c r="I16" s="14" t="n">
        <v>2.58</v>
      </c>
      <c r="J16" s="12" t="s">
        <v>263</v>
      </c>
      <c r="K16" s="8" t="s">
        <v>314</v>
      </c>
      <c r="L16" s="12" t="s">
        <v>265</v>
      </c>
      <c r="M16" s="8" t="s">
        <v>266</v>
      </c>
      <c r="N16" s="15" t="s">
        <v>315</v>
      </c>
      <c r="O16" s="8" t="s">
        <v>316</v>
      </c>
      <c r="P16" s="8" t="n">
        <f aca="false">IFERROR(VLOOKUP($A16,BOM!$A$2:$E$54,5,0),0)</f>
        <v>1</v>
      </c>
      <c r="Q16" s="8" t="n">
        <f aca="false">CEILING($P16*Assumptions!$B$4/$D16,1)</f>
        <v>1</v>
      </c>
      <c r="R16" s="8" t="n">
        <f aca="false">CEILING($P16*Assumptions!$B$5/$D16,1)</f>
        <v>10</v>
      </c>
      <c r="S16" s="8" t="n">
        <f aca="false">CEILING($P16*Assumptions!$B$6/$D16,1)</f>
        <v>100</v>
      </c>
      <c r="T16" s="7" t="n">
        <f aca="false">IF(ISNUMBER($E16),IF(AND(ISNUMBER($I16),ISNUMBER($H16)),IF($H16&lt;=$Q16,$I16,IF(AND(ISNUMBER($G16),ISNUMBER($F16)),IF($F16&lt;=$Q16,$G16,$E16),$E16)),IF(AND(ISNUMBER($G16),ISNUMBER($F16)),IF($F16&lt;=$Q16,$G16,$E16),$E16))*(1+IF($J16="Y",0,Assumptions!$B$3)),"")</f>
        <v>4.642</v>
      </c>
      <c r="U16" s="7" t="n">
        <f aca="false">IF(ISNUMBER($E16),IF(AND(ISNUMBER($I16),ISNUMBER($H16)),IF($H16&lt;=$R16,$I16,IF(AND(ISNUMBER($G16),ISNUMBER($F16)),IF($F16&lt;=$R16,$G16,$E16),$E16)),IF(AND(ISNUMBER($G16),ISNUMBER($F16)),IF($F16&lt;=$R16,$G16,$E16),$E16))*(1+IF($J16="Y",0,Assumptions!$B$3)),"")</f>
        <v>3.476</v>
      </c>
      <c r="V16" s="7" t="n">
        <f aca="false">IF(ISNUMBER($E16),IF(AND(ISNUMBER($I16),ISNUMBER($H16)),IF($H16&lt;=$S16,$I16,IF(AND(ISNUMBER($G16),ISNUMBER($F16)),IF($F16&lt;=$S16,$G16,$E16),$E16)),IF(AND(ISNUMBER($G16),ISNUMBER($F16)),IF($F16&lt;=$S16,$G16,$E16),$E16))*(1+IF($J16="Y",0,Assumptions!$B$3)),"")</f>
        <v>2.838</v>
      </c>
      <c r="W16" s="7" t="n">
        <f aca="false">IF(ISNUMBER($T16),$Q16*$T16/Assumptions!$B$4,"")</f>
        <v>4.642</v>
      </c>
      <c r="X16" s="7" t="n">
        <f aca="false">IF(ISNUMBER($U16),$R16*$U16/Assumptions!$B$5,"")</f>
        <v>3.476</v>
      </c>
      <c r="Y16" s="7" t="n">
        <f aca="false">IF(ISNUMBER($V16),$S16*$V16/Assumptions!$B$6,"")</f>
        <v>2.838</v>
      </c>
      <c r="Z16" s="8" t="str">
        <f aca="false">$A16&amp;"|"&amp;IF(ISNUMBER($W16),TEXT($W16,"0.0000"),"x")&amp;"|"&amp;$L16</f>
        <v>H107|4.6420|Y</v>
      </c>
      <c r="AA16" s="8" t="str">
        <f aca="false">$A16&amp;"|"&amp;IF(ISNUMBER($Y16),TEXT($Y16,"0.0000"),"x")&amp;"|"&amp;$L16</f>
        <v>H107|2.8380|Y</v>
      </c>
    </row>
    <row r="17" customFormat="false" ht="15" hidden="false" customHeight="false" outlineLevel="0" collapsed="false">
      <c r="A17" s="16" t="s">
        <v>82</v>
      </c>
      <c r="B17" s="16" t="s">
        <v>292</v>
      </c>
      <c r="C17" s="16" t="s">
        <v>317</v>
      </c>
      <c r="D17" s="17" t="n">
        <v>1</v>
      </c>
      <c r="E17" s="18"/>
      <c r="F17" s="17"/>
      <c r="G17" s="18"/>
      <c r="H17" s="17"/>
      <c r="I17" s="18"/>
      <c r="J17" s="17" t="s">
        <v>263</v>
      </c>
      <c r="K17" s="16"/>
      <c r="L17" s="17" t="s">
        <v>265</v>
      </c>
      <c r="M17" s="16" t="s">
        <v>266</v>
      </c>
      <c r="N17" s="19" t="s">
        <v>318</v>
      </c>
      <c r="O17" s="16" t="s">
        <v>319</v>
      </c>
      <c r="P17" s="8" t="n">
        <f aca="false">IFERROR(VLOOKUP($A17,BOM!$A$2:$E$54,5,0),0)</f>
        <v>1</v>
      </c>
      <c r="Q17" s="8" t="n">
        <f aca="false">CEILING($P17*Assumptions!$B$4/$D17,1)</f>
        <v>1</v>
      </c>
      <c r="R17" s="8" t="n">
        <f aca="false">CEILING($P17*Assumptions!$B$5/$D17,1)</f>
        <v>10</v>
      </c>
      <c r="S17" s="8" t="n">
        <f aca="false">CEILING($P17*Assumptions!$B$6/$D17,1)</f>
        <v>100</v>
      </c>
      <c r="T17" s="7" t="str">
        <f aca="false">IF(ISNUMBER($E17),IF(AND(ISNUMBER($I17),ISNUMBER($H17)),IF($H17&lt;=$Q17,$I17,IF(AND(ISNUMBER($G17),ISNUMBER($F17)),IF($F17&lt;=$Q17,$G17,$E17),$E17)),IF(AND(ISNUMBER($G17),ISNUMBER($F17)),IF($F17&lt;=$Q17,$G17,$E17),$E17))*(1+IF($J17="Y",0,Assumptions!$B$3)),"")</f>
        <v/>
      </c>
      <c r="U17" s="7" t="str">
        <f aca="false">IF(ISNUMBER($E17),IF(AND(ISNUMBER($I17),ISNUMBER($H17)),IF($H17&lt;=$R17,$I17,IF(AND(ISNUMBER($G17),ISNUMBER($F17)),IF($F17&lt;=$R17,$G17,$E17),$E17)),IF(AND(ISNUMBER($G17),ISNUMBER($F17)),IF($F17&lt;=$R17,$G17,$E17),$E17))*(1+IF($J17="Y",0,Assumptions!$B$3)),"")</f>
        <v/>
      </c>
      <c r="V17" s="7" t="str">
        <f aca="false">IF(ISNUMBER($E17),IF(AND(ISNUMBER($I17),ISNUMBER($H17)),IF($H17&lt;=$S17,$I17,IF(AND(ISNUMBER($G17),ISNUMBER($F17)),IF($F17&lt;=$S17,$G17,$E17),$E17)),IF(AND(ISNUMBER($G17),ISNUMBER($F17)),IF($F17&lt;=$S17,$G17,$E17),$E17))*(1+IF($J17="Y",0,Assumptions!$B$3)),"")</f>
        <v/>
      </c>
      <c r="W17" s="7" t="str">
        <f aca="false">IF(ISNUMBER($T17),$Q17*$T17/Assumptions!$B$4,"")</f>
        <v/>
      </c>
      <c r="X17" s="7" t="str">
        <f aca="false">IF(ISNUMBER($U17),$R17*$U17/Assumptions!$B$5,"")</f>
        <v/>
      </c>
      <c r="Y17" s="7" t="str">
        <f aca="false">IF(ISNUMBER($V17),$S17*$V17/Assumptions!$B$6,"")</f>
        <v/>
      </c>
      <c r="Z17" s="8" t="str">
        <f aca="false">$A17&amp;"|"&amp;IF(ISNUMBER($W17),TEXT($W17,"0.0000"),"x")&amp;"|"&amp;$L17</f>
        <v>H107|x|Y</v>
      </c>
      <c r="AA17" s="8" t="str">
        <f aca="false">$A17&amp;"|"&amp;IF(ISNUMBER($Y17),TEXT($Y17,"0.0000"),"x")&amp;"|"&amp;$L17</f>
        <v>H107|x|Y</v>
      </c>
    </row>
    <row r="18" customFormat="false" ht="15" hidden="false" customHeight="false" outlineLevel="0" collapsed="false">
      <c r="A18" s="8" t="s">
        <v>85</v>
      </c>
      <c r="B18" s="8" t="s">
        <v>261</v>
      </c>
      <c r="C18" s="8" t="s">
        <v>320</v>
      </c>
      <c r="D18" s="12" t="n">
        <v>1</v>
      </c>
      <c r="E18" s="14" t="n">
        <v>1.62</v>
      </c>
      <c r="F18" s="12" t="n">
        <v>10</v>
      </c>
      <c r="G18" s="14" t="n">
        <v>1.17</v>
      </c>
      <c r="H18" s="12" t="n">
        <v>100</v>
      </c>
      <c r="I18" s="14" t="n">
        <v>0.934</v>
      </c>
      <c r="J18" s="12" t="s">
        <v>263</v>
      </c>
      <c r="K18" s="8" t="s">
        <v>321</v>
      </c>
      <c r="L18" s="12" t="s">
        <v>265</v>
      </c>
      <c r="M18" s="8" t="s">
        <v>266</v>
      </c>
      <c r="N18" s="15" t="s">
        <v>322</v>
      </c>
      <c r="O18" s="8" t="s">
        <v>323</v>
      </c>
      <c r="P18" s="8" t="n">
        <f aca="false">IFERROR(VLOOKUP($A18,BOM!$A$2:$E$54,5,0),0)</f>
        <v>1</v>
      </c>
      <c r="Q18" s="8" t="n">
        <f aca="false">CEILING($P18*Assumptions!$B$4/$D18,1)</f>
        <v>1</v>
      </c>
      <c r="R18" s="8" t="n">
        <f aca="false">CEILING($P18*Assumptions!$B$5/$D18,1)</f>
        <v>10</v>
      </c>
      <c r="S18" s="8" t="n">
        <f aca="false">CEILING($P18*Assumptions!$B$6/$D18,1)</f>
        <v>100</v>
      </c>
      <c r="T18" s="7" t="n">
        <f aca="false">IF(ISNUMBER($E18),IF(AND(ISNUMBER($I18),ISNUMBER($H18)),IF($H18&lt;=$Q18,$I18,IF(AND(ISNUMBER($G18),ISNUMBER($F18)),IF($F18&lt;=$Q18,$G18,$E18),$E18)),IF(AND(ISNUMBER($G18),ISNUMBER($F18)),IF($F18&lt;=$Q18,$G18,$E18),$E18))*(1+IF($J18="Y",0,Assumptions!$B$3)),"")</f>
        <v>1.782</v>
      </c>
      <c r="U18" s="7" t="n">
        <f aca="false">IF(ISNUMBER($E18),IF(AND(ISNUMBER($I18),ISNUMBER($H18)),IF($H18&lt;=$R18,$I18,IF(AND(ISNUMBER($G18),ISNUMBER($F18)),IF($F18&lt;=$R18,$G18,$E18),$E18)),IF(AND(ISNUMBER($G18),ISNUMBER($F18)),IF($F18&lt;=$R18,$G18,$E18),$E18))*(1+IF($J18="Y",0,Assumptions!$B$3)),"")</f>
        <v>1.287</v>
      </c>
      <c r="V18" s="7" t="n">
        <f aca="false">IF(ISNUMBER($E18),IF(AND(ISNUMBER($I18),ISNUMBER($H18)),IF($H18&lt;=$S18,$I18,IF(AND(ISNUMBER($G18),ISNUMBER($F18)),IF($F18&lt;=$S18,$G18,$E18),$E18)),IF(AND(ISNUMBER($G18),ISNUMBER($F18)),IF($F18&lt;=$S18,$G18,$E18),$E18))*(1+IF($J18="Y",0,Assumptions!$B$3)),"")</f>
        <v>1.0274</v>
      </c>
      <c r="W18" s="7" t="n">
        <f aca="false">IF(ISNUMBER($T18),$Q18*$T18/Assumptions!$B$4,"")</f>
        <v>1.782</v>
      </c>
      <c r="X18" s="7" t="n">
        <f aca="false">IF(ISNUMBER($U18),$R18*$U18/Assumptions!$B$5,"")</f>
        <v>1.287</v>
      </c>
      <c r="Y18" s="7" t="n">
        <f aca="false">IF(ISNUMBER($V18),$S18*$V18/Assumptions!$B$6,"")</f>
        <v>1.0274</v>
      </c>
      <c r="Z18" s="8" t="str">
        <f aca="false">$A18&amp;"|"&amp;IF(ISNUMBER($W18),TEXT($W18,"0.0000"),"x")&amp;"|"&amp;$L18</f>
        <v>H138|1.7820|Y</v>
      </c>
      <c r="AA18" s="8" t="str">
        <f aca="false">$A18&amp;"|"&amp;IF(ISNUMBER($Y18),TEXT($Y18,"0.0000"),"x")&amp;"|"&amp;$L18</f>
        <v>H138|1.0274|Y</v>
      </c>
    </row>
    <row r="19" customFormat="false" ht="15" hidden="false" customHeight="false" outlineLevel="0" collapsed="false">
      <c r="A19" s="8" t="s">
        <v>85</v>
      </c>
      <c r="B19" s="8" t="s">
        <v>269</v>
      </c>
      <c r="C19" s="8" t="s">
        <v>86</v>
      </c>
      <c r="D19" s="12" t="n">
        <v>1</v>
      </c>
      <c r="E19" s="14" t="n">
        <v>1.1</v>
      </c>
      <c r="F19" s="12" t="n">
        <v>10</v>
      </c>
      <c r="G19" s="14" t="n">
        <v>0.99</v>
      </c>
      <c r="H19" s="12" t="n">
        <v>25</v>
      </c>
      <c r="I19" s="14" t="n">
        <v>0.79</v>
      </c>
      <c r="J19" s="12" t="s">
        <v>265</v>
      </c>
      <c r="K19" s="8" t="s">
        <v>270</v>
      </c>
      <c r="L19" s="12" t="s">
        <v>265</v>
      </c>
      <c r="M19" s="8" t="s">
        <v>266</v>
      </c>
      <c r="N19" s="15" t="s">
        <v>324</v>
      </c>
      <c r="O19" s="8" t="s">
        <v>325</v>
      </c>
      <c r="P19" s="8" t="n">
        <f aca="false">IFERROR(VLOOKUP($A19,BOM!$A$2:$E$54,5,0),0)</f>
        <v>1</v>
      </c>
      <c r="Q19" s="8" t="n">
        <f aca="false">CEILING($P19*Assumptions!$B$4/$D19,1)</f>
        <v>1</v>
      </c>
      <c r="R19" s="8" t="n">
        <f aca="false">CEILING($P19*Assumptions!$B$5/$D19,1)</f>
        <v>10</v>
      </c>
      <c r="S19" s="8" t="n">
        <f aca="false">CEILING($P19*Assumptions!$B$6/$D19,1)</f>
        <v>100</v>
      </c>
      <c r="T19" s="7" t="n">
        <f aca="false">IF(ISNUMBER($E19),IF(AND(ISNUMBER($I19),ISNUMBER($H19)),IF($H19&lt;=$Q19,$I19,IF(AND(ISNUMBER($G19),ISNUMBER($F19)),IF($F19&lt;=$Q19,$G19,$E19),$E19)),IF(AND(ISNUMBER($G19),ISNUMBER($F19)),IF($F19&lt;=$Q19,$G19,$E19),$E19))*(1+IF($J19="Y",0,Assumptions!$B$3)),"")</f>
        <v>1.1</v>
      </c>
      <c r="U19" s="7" t="n">
        <f aca="false">IF(ISNUMBER($E19),IF(AND(ISNUMBER($I19),ISNUMBER($H19)),IF($H19&lt;=$R19,$I19,IF(AND(ISNUMBER($G19),ISNUMBER($F19)),IF($F19&lt;=$R19,$G19,$E19),$E19)),IF(AND(ISNUMBER($G19),ISNUMBER($F19)),IF($F19&lt;=$R19,$G19,$E19),$E19))*(1+IF($J19="Y",0,Assumptions!$B$3)),"")</f>
        <v>0.99</v>
      </c>
      <c r="V19" s="7" t="n">
        <f aca="false">IF(ISNUMBER($E19),IF(AND(ISNUMBER($I19),ISNUMBER($H19)),IF($H19&lt;=$S19,$I19,IF(AND(ISNUMBER($G19),ISNUMBER($F19)),IF($F19&lt;=$S19,$G19,$E19),$E19)),IF(AND(ISNUMBER($G19),ISNUMBER($F19)),IF($F19&lt;=$S19,$G19,$E19),$E19))*(1+IF($J19="Y",0,Assumptions!$B$3)),"")</f>
        <v>0.79</v>
      </c>
      <c r="W19" s="7" t="n">
        <f aca="false">IF(ISNUMBER($T19),$Q19*$T19/Assumptions!$B$4,"")</f>
        <v>1.1</v>
      </c>
      <c r="X19" s="7" t="n">
        <f aca="false">IF(ISNUMBER($U19),$R19*$U19/Assumptions!$B$5,"")</f>
        <v>0.99</v>
      </c>
      <c r="Y19" s="7" t="n">
        <f aca="false">IF(ISNUMBER($V19),$S19*$V19/Assumptions!$B$6,"")</f>
        <v>0.79</v>
      </c>
      <c r="Z19" s="8" t="str">
        <f aca="false">$A19&amp;"|"&amp;IF(ISNUMBER($W19),TEXT($W19,"0.0000"),"x")&amp;"|"&amp;$L19</f>
        <v>H138|1.1000|Y</v>
      </c>
      <c r="AA19" s="8" t="str">
        <f aca="false">$A19&amp;"|"&amp;IF(ISNUMBER($Y19),TEXT($Y19,"0.0000"),"x")&amp;"|"&amp;$L19</f>
        <v>H138|0.7900|Y</v>
      </c>
    </row>
    <row r="20" customFormat="false" ht="15" hidden="false" customHeight="false" outlineLevel="0" collapsed="false">
      <c r="A20" s="8" t="s">
        <v>88</v>
      </c>
      <c r="B20" s="8" t="s">
        <v>261</v>
      </c>
      <c r="C20" s="8" t="s">
        <v>326</v>
      </c>
      <c r="D20" s="12" t="n">
        <v>1</v>
      </c>
      <c r="E20" s="14" t="n">
        <v>1.54</v>
      </c>
      <c r="F20" s="12" t="n">
        <v>10</v>
      </c>
      <c r="G20" s="14" t="n">
        <v>1.1</v>
      </c>
      <c r="H20" s="12" t="n">
        <v>100</v>
      </c>
      <c r="I20" s="14" t="n">
        <v>0.879</v>
      </c>
      <c r="J20" s="12" t="s">
        <v>263</v>
      </c>
      <c r="K20" s="8" t="s">
        <v>327</v>
      </c>
      <c r="L20" s="12" t="s">
        <v>265</v>
      </c>
      <c r="M20" s="8" t="s">
        <v>266</v>
      </c>
      <c r="N20" s="15" t="s">
        <v>328</v>
      </c>
      <c r="O20" s="8" t="s">
        <v>329</v>
      </c>
      <c r="P20" s="8" t="n">
        <f aca="false">IFERROR(VLOOKUP($A20,BOM!$A$2:$E$54,5,0),0)</f>
        <v>2</v>
      </c>
      <c r="Q20" s="8" t="n">
        <f aca="false">CEILING($P20*Assumptions!$B$4/$D20,1)</f>
        <v>2</v>
      </c>
      <c r="R20" s="8" t="n">
        <f aca="false">CEILING($P20*Assumptions!$B$5/$D20,1)</f>
        <v>20</v>
      </c>
      <c r="S20" s="8" t="n">
        <f aca="false">CEILING($P20*Assumptions!$B$6/$D20,1)</f>
        <v>200</v>
      </c>
      <c r="T20" s="7" t="n">
        <f aca="false">IF(ISNUMBER($E20),IF(AND(ISNUMBER($I20),ISNUMBER($H20)),IF($H20&lt;=$Q20,$I20,IF(AND(ISNUMBER($G20),ISNUMBER($F20)),IF($F20&lt;=$Q20,$G20,$E20),$E20)),IF(AND(ISNUMBER($G20),ISNUMBER($F20)),IF($F20&lt;=$Q20,$G20,$E20),$E20))*(1+IF($J20="Y",0,Assumptions!$B$3)),"")</f>
        <v>1.694</v>
      </c>
      <c r="U20" s="7" t="n">
        <f aca="false">IF(ISNUMBER($E20),IF(AND(ISNUMBER($I20),ISNUMBER($H20)),IF($H20&lt;=$R20,$I20,IF(AND(ISNUMBER($G20),ISNUMBER($F20)),IF($F20&lt;=$R20,$G20,$E20),$E20)),IF(AND(ISNUMBER($G20),ISNUMBER($F20)),IF($F20&lt;=$R20,$G20,$E20),$E20))*(1+IF($J20="Y",0,Assumptions!$B$3)),"")</f>
        <v>1.21</v>
      </c>
      <c r="V20" s="7" t="n">
        <f aca="false">IF(ISNUMBER($E20),IF(AND(ISNUMBER($I20),ISNUMBER($H20)),IF($H20&lt;=$S20,$I20,IF(AND(ISNUMBER($G20),ISNUMBER($F20)),IF($F20&lt;=$S20,$G20,$E20),$E20)),IF(AND(ISNUMBER($G20),ISNUMBER($F20)),IF($F20&lt;=$S20,$G20,$E20),$E20))*(1+IF($J20="Y",0,Assumptions!$B$3)),"")</f>
        <v>0.9669</v>
      </c>
      <c r="W20" s="7" t="n">
        <f aca="false">IF(ISNUMBER($T20),$Q20*$T20/Assumptions!$B$4,"")</f>
        <v>3.388</v>
      </c>
      <c r="X20" s="7" t="n">
        <f aca="false">IF(ISNUMBER($U20),$R20*$U20/Assumptions!$B$5,"")</f>
        <v>2.42</v>
      </c>
      <c r="Y20" s="7" t="n">
        <f aca="false">IF(ISNUMBER($V20),$S20*$V20/Assumptions!$B$6,"")</f>
        <v>1.9338</v>
      </c>
      <c r="Z20" s="8" t="str">
        <f aca="false">$A20&amp;"|"&amp;IF(ISNUMBER($W20),TEXT($W20,"0.0000"),"x")&amp;"|"&amp;$L20</f>
        <v>H139|3.3880|Y</v>
      </c>
      <c r="AA20" s="8" t="str">
        <f aca="false">$A20&amp;"|"&amp;IF(ISNUMBER($Y20),TEXT($Y20,"0.0000"),"x")&amp;"|"&amp;$L20</f>
        <v>H139|1.9338|Y</v>
      </c>
    </row>
    <row r="21" customFormat="false" ht="15" hidden="false" customHeight="false" outlineLevel="0" collapsed="false">
      <c r="A21" s="16" t="s">
        <v>88</v>
      </c>
      <c r="B21" s="16" t="s">
        <v>292</v>
      </c>
      <c r="C21" s="16" t="s">
        <v>330</v>
      </c>
      <c r="D21" s="17" t="n">
        <v>1</v>
      </c>
      <c r="E21" s="18"/>
      <c r="F21" s="17"/>
      <c r="G21" s="18"/>
      <c r="H21" s="17"/>
      <c r="I21" s="18"/>
      <c r="J21" s="17" t="s">
        <v>263</v>
      </c>
      <c r="K21" s="16"/>
      <c r="L21" s="17" t="s">
        <v>265</v>
      </c>
      <c r="M21" s="16" t="s">
        <v>266</v>
      </c>
      <c r="N21" s="19" t="s">
        <v>331</v>
      </c>
      <c r="O21" s="16" t="s">
        <v>332</v>
      </c>
      <c r="P21" s="8" t="n">
        <f aca="false">IFERROR(VLOOKUP($A21,BOM!$A$2:$E$54,5,0),0)</f>
        <v>2</v>
      </c>
      <c r="Q21" s="8" t="n">
        <f aca="false">CEILING($P21*Assumptions!$B$4/$D21,1)</f>
        <v>2</v>
      </c>
      <c r="R21" s="8" t="n">
        <f aca="false">CEILING($P21*Assumptions!$B$5/$D21,1)</f>
        <v>20</v>
      </c>
      <c r="S21" s="8" t="n">
        <f aca="false">CEILING($P21*Assumptions!$B$6/$D21,1)</f>
        <v>200</v>
      </c>
      <c r="T21" s="7" t="str">
        <f aca="false">IF(ISNUMBER($E21),IF(AND(ISNUMBER($I21),ISNUMBER($H21)),IF($H21&lt;=$Q21,$I21,IF(AND(ISNUMBER($G21),ISNUMBER($F21)),IF($F21&lt;=$Q21,$G21,$E21),$E21)),IF(AND(ISNUMBER($G21),ISNUMBER($F21)),IF($F21&lt;=$Q21,$G21,$E21),$E21))*(1+IF($J21="Y",0,Assumptions!$B$3)),"")</f>
        <v/>
      </c>
      <c r="U21" s="7" t="str">
        <f aca="false">IF(ISNUMBER($E21),IF(AND(ISNUMBER($I21),ISNUMBER($H21)),IF($H21&lt;=$R21,$I21,IF(AND(ISNUMBER($G21),ISNUMBER($F21)),IF($F21&lt;=$R21,$G21,$E21),$E21)),IF(AND(ISNUMBER($G21),ISNUMBER($F21)),IF($F21&lt;=$R21,$G21,$E21),$E21))*(1+IF($J21="Y",0,Assumptions!$B$3)),"")</f>
        <v/>
      </c>
      <c r="V21" s="7" t="str">
        <f aca="false">IF(ISNUMBER($E21),IF(AND(ISNUMBER($I21),ISNUMBER($H21)),IF($H21&lt;=$S21,$I21,IF(AND(ISNUMBER($G21),ISNUMBER($F21)),IF($F21&lt;=$S21,$G21,$E21),$E21)),IF(AND(ISNUMBER($G21),ISNUMBER($F21)),IF($F21&lt;=$S21,$G21,$E21),$E21))*(1+IF($J21="Y",0,Assumptions!$B$3)),"")</f>
        <v/>
      </c>
      <c r="W21" s="7" t="str">
        <f aca="false">IF(ISNUMBER($T21),$Q21*$T21/Assumptions!$B$4,"")</f>
        <v/>
      </c>
      <c r="X21" s="7" t="str">
        <f aca="false">IF(ISNUMBER($U21),$R21*$U21/Assumptions!$B$5,"")</f>
        <v/>
      </c>
      <c r="Y21" s="7" t="str">
        <f aca="false">IF(ISNUMBER($V21),$S21*$V21/Assumptions!$B$6,"")</f>
        <v/>
      </c>
      <c r="Z21" s="8" t="str">
        <f aca="false">$A21&amp;"|"&amp;IF(ISNUMBER($W21),TEXT($W21,"0.0000"),"x")&amp;"|"&amp;$L21</f>
        <v>H139|x|Y</v>
      </c>
      <c r="AA21" s="8" t="str">
        <f aca="false">$A21&amp;"|"&amp;IF(ISNUMBER($Y21),TEXT($Y21,"0.0000"),"x")&amp;"|"&amp;$L21</f>
        <v>H139|x|Y</v>
      </c>
    </row>
    <row r="22" customFormat="false" ht="15" hidden="false" customHeight="false" outlineLevel="0" collapsed="false">
      <c r="A22" s="8" t="s">
        <v>91</v>
      </c>
      <c r="B22" s="8" t="s">
        <v>261</v>
      </c>
      <c r="C22" s="8" t="s">
        <v>333</v>
      </c>
      <c r="D22" s="12" t="n">
        <v>1</v>
      </c>
      <c r="E22" s="14" t="n">
        <v>1.57</v>
      </c>
      <c r="F22" s="12" t="n">
        <v>10</v>
      </c>
      <c r="G22" s="14" t="n">
        <v>1.13</v>
      </c>
      <c r="H22" s="12" t="n">
        <v>100</v>
      </c>
      <c r="I22" s="14" t="n">
        <v>0.899</v>
      </c>
      <c r="J22" s="12" t="s">
        <v>263</v>
      </c>
      <c r="K22" s="8" t="s">
        <v>334</v>
      </c>
      <c r="L22" s="12" t="s">
        <v>265</v>
      </c>
      <c r="M22" s="8" t="s">
        <v>266</v>
      </c>
      <c r="N22" s="15" t="s">
        <v>335</v>
      </c>
      <c r="O22" s="8" t="s">
        <v>323</v>
      </c>
      <c r="P22" s="8" t="n">
        <f aca="false">IFERROR(VLOOKUP($A22,BOM!$A$2:$E$54,5,0),0)</f>
        <v>2</v>
      </c>
      <c r="Q22" s="8" t="n">
        <f aca="false">CEILING($P22*Assumptions!$B$4/$D22,1)</f>
        <v>2</v>
      </c>
      <c r="R22" s="8" t="n">
        <f aca="false">CEILING($P22*Assumptions!$B$5/$D22,1)</f>
        <v>20</v>
      </c>
      <c r="S22" s="8" t="n">
        <f aca="false">CEILING($P22*Assumptions!$B$6/$D22,1)</f>
        <v>200</v>
      </c>
      <c r="T22" s="7" t="n">
        <f aca="false">IF(ISNUMBER($E22),IF(AND(ISNUMBER($I22),ISNUMBER($H22)),IF($H22&lt;=$Q22,$I22,IF(AND(ISNUMBER($G22),ISNUMBER($F22)),IF($F22&lt;=$Q22,$G22,$E22),$E22)),IF(AND(ISNUMBER($G22),ISNUMBER($F22)),IF($F22&lt;=$Q22,$G22,$E22),$E22))*(1+IF($J22="Y",0,Assumptions!$B$3)),"")</f>
        <v>1.727</v>
      </c>
      <c r="U22" s="7" t="n">
        <f aca="false">IF(ISNUMBER($E22),IF(AND(ISNUMBER($I22),ISNUMBER($H22)),IF($H22&lt;=$R22,$I22,IF(AND(ISNUMBER($G22),ISNUMBER($F22)),IF($F22&lt;=$R22,$G22,$E22),$E22)),IF(AND(ISNUMBER($G22),ISNUMBER($F22)),IF($F22&lt;=$R22,$G22,$E22),$E22))*(1+IF($J22="Y",0,Assumptions!$B$3)),"")</f>
        <v>1.243</v>
      </c>
      <c r="V22" s="7" t="n">
        <f aca="false">IF(ISNUMBER($E22),IF(AND(ISNUMBER($I22),ISNUMBER($H22)),IF($H22&lt;=$S22,$I22,IF(AND(ISNUMBER($G22),ISNUMBER($F22)),IF($F22&lt;=$S22,$G22,$E22),$E22)),IF(AND(ISNUMBER($G22),ISNUMBER($F22)),IF($F22&lt;=$S22,$G22,$E22),$E22))*(1+IF($J22="Y",0,Assumptions!$B$3)),"")</f>
        <v>0.9889</v>
      </c>
      <c r="W22" s="7" t="n">
        <f aca="false">IF(ISNUMBER($T22),$Q22*$T22/Assumptions!$B$4,"")</f>
        <v>3.454</v>
      </c>
      <c r="X22" s="7" t="n">
        <f aca="false">IF(ISNUMBER($U22),$R22*$U22/Assumptions!$B$5,"")</f>
        <v>2.486</v>
      </c>
      <c r="Y22" s="7" t="n">
        <f aca="false">IF(ISNUMBER($V22),$S22*$V22/Assumptions!$B$6,"")</f>
        <v>1.9778</v>
      </c>
      <c r="Z22" s="8" t="str">
        <f aca="false">$A22&amp;"|"&amp;IF(ISNUMBER($W22),TEXT($W22,"0.0000"),"x")&amp;"|"&amp;$L22</f>
        <v>H157|3.4540|Y</v>
      </c>
      <c r="AA22" s="8" t="str">
        <f aca="false">$A22&amp;"|"&amp;IF(ISNUMBER($Y22),TEXT($Y22,"0.0000"),"x")&amp;"|"&amp;$L22</f>
        <v>H157|1.9778|Y</v>
      </c>
    </row>
    <row r="23" customFormat="false" ht="15" hidden="false" customHeight="false" outlineLevel="0" collapsed="false">
      <c r="A23" s="8" t="s">
        <v>91</v>
      </c>
      <c r="B23" s="8" t="s">
        <v>292</v>
      </c>
      <c r="C23" s="8" t="s">
        <v>336</v>
      </c>
      <c r="D23" s="12" t="n">
        <v>1</v>
      </c>
      <c r="E23" s="14" t="n">
        <v>1.69</v>
      </c>
      <c r="F23" s="12" t="n">
        <v>10</v>
      </c>
      <c r="G23" s="14" t="n">
        <v>1.11</v>
      </c>
      <c r="H23" s="12" t="n">
        <v>100</v>
      </c>
      <c r="I23" s="14" t="n">
        <v>0.913</v>
      </c>
      <c r="J23" s="12" t="s">
        <v>263</v>
      </c>
      <c r="K23" s="8" t="s">
        <v>337</v>
      </c>
      <c r="L23" s="12" t="s">
        <v>265</v>
      </c>
      <c r="M23" s="8" t="s">
        <v>266</v>
      </c>
      <c r="N23" s="15" t="s">
        <v>338</v>
      </c>
      <c r="O23" s="8" t="s">
        <v>339</v>
      </c>
      <c r="P23" s="8" t="n">
        <f aca="false">IFERROR(VLOOKUP($A23,BOM!$A$2:$E$54,5,0),0)</f>
        <v>2</v>
      </c>
      <c r="Q23" s="8" t="n">
        <f aca="false">CEILING($P23*Assumptions!$B$4/$D23,1)</f>
        <v>2</v>
      </c>
      <c r="R23" s="8" t="n">
        <f aca="false">CEILING($P23*Assumptions!$B$5/$D23,1)</f>
        <v>20</v>
      </c>
      <c r="S23" s="8" t="n">
        <f aca="false">CEILING($P23*Assumptions!$B$6/$D23,1)</f>
        <v>200</v>
      </c>
      <c r="T23" s="7" t="n">
        <f aca="false">IF(ISNUMBER($E23),IF(AND(ISNUMBER($I23),ISNUMBER($H23)),IF($H23&lt;=$Q23,$I23,IF(AND(ISNUMBER($G23),ISNUMBER($F23)),IF($F23&lt;=$Q23,$G23,$E23),$E23)),IF(AND(ISNUMBER($G23),ISNUMBER($F23)),IF($F23&lt;=$Q23,$G23,$E23),$E23))*(1+IF($J23="Y",0,Assumptions!$B$3)),"")</f>
        <v>1.859</v>
      </c>
      <c r="U23" s="7" t="n">
        <f aca="false">IF(ISNUMBER($E23),IF(AND(ISNUMBER($I23),ISNUMBER($H23)),IF($H23&lt;=$R23,$I23,IF(AND(ISNUMBER($G23),ISNUMBER($F23)),IF($F23&lt;=$R23,$G23,$E23),$E23)),IF(AND(ISNUMBER($G23),ISNUMBER($F23)),IF($F23&lt;=$R23,$G23,$E23),$E23))*(1+IF($J23="Y",0,Assumptions!$B$3)),"")</f>
        <v>1.221</v>
      </c>
      <c r="V23" s="7" t="n">
        <f aca="false">IF(ISNUMBER($E23),IF(AND(ISNUMBER($I23),ISNUMBER($H23)),IF($H23&lt;=$S23,$I23,IF(AND(ISNUMBER($G23),ISNUMBER($F23)),IF($F23&lt;=$S23,$G23,$E23),$E23)),IF(AND(ISNUMBER($G23),ISNUMBER($F23)),IF($F23&lt;=$S23,$G23,$E23),$E23))*(1+IF($J23="Y",0,Assumptions!$B$3)),"")</f>
        <v>1.0043</v>
      </c>
      <c r="W23" s="7" t="n">
        <f aca="false">IF(ISNUMBER($T23),$Q23*$T23/Assumptions!$B$4,"")</f>
        <v>3.718</v>
      </c>
      <c r="X23" s="7" t="n">
        <f aca="false">IF(ISNUMBER($U23),$R23*$U23/Assumptions!$B$5,"")</f>
        <v>2.442</v>
      </c>
      <c r="Y23" s="7" t="n">
        <f aca="false">IF(ISNUMBER($V23),$S23*$V23/Assumptions!$B$6,"")</f>
        <v>2.0086</v>
      </c>
      <c r="Z23" s="8" t="str">
        <f aca="false">$A23&amp;"|"&amp;IF(ISNUMBER($W23),TEXT($W23,"0.0000"),"x")&amp;"|"&amp;$L23</f>
        <v>H157|3.7180|Y</v>
      </c>
      <c r="AA23" s="8" t="str">
        <f aca="false">$A23&amp;"|"&amp;IF(ISNUMBER($Y23),TEXT($Y23,"0.0000"),"x")&amp;"|"&amp;$L23</f>
        <v>H157|2.0086|Y</v>
      </c>
    </row>
    <row r="24" customFormat="false" ht="15" hidden="false" customHeight="false" outlineLevel="0" collapsed="false">
      <c r="A24" s="8" t="s">
        <v>94</v>
      </c>
      <c r="B24" s="8" t="s">
        <v>261</v>
      </c>
      <c r="C24" s="8" t="s">
        <v>340</v>
      </c>
      <c r="D24" s="12" t="n">
        <v>1</v>
      </c>
      <c r="E24" s="14" t="n">
        <v>1.94</v>
      </c>
      <c r="F24" s="12" t="n">
        <v>10</v>
      </c>
      <c r="G24" s="14" t="n">
        <v>1.41</v>
      </c>
      <c r="H24" s="12" t="n">
        <v>100</v>
      </c>
      <c r="I24" s="14" t="n">
        <v>1.13</v>
      </c>
      <c r="J24" s="12" t="s">
        <v>263</v>
      </c>
      <c r="K24" s="8" t="s">
        <v>341</v>
      </c>
      <c r="L24" s="12" t="s">
        <v>265</v>
      </c>
      <c r="M24" s="8" t="s">
        <v>266</v>
      </c>
      <c r="N24" s="15" t="s">
        <v>342</v>
      </c>
      <c r="O24" s="8" t="s">
        <v>343</v>
      </c>
      <c r="P24" s="8" t="n">
        <f aca="false">IFERROR(VLOOKUP($A24,BOM!$A$2:$E$54,5,0),0)</f>
        <v>2</v>
      </c>
      <c r="Q24" s="8" t="n">
        <f aca="false">CEILING($P24*Assumptions!$B$4/$D24,1)</f>
        <v>2</v>
      </c>
      <c r="R24" s="8" t="n">
        <f aca="false">CEILING($P24*Assumptions!$B$5/$D24,1)</f>
        <v>20</v>
      </c>
      <c r="S24" s="8" t="n">
        <f aca="false">CEILING($P24*Assumptions!$B$6/$D24,1)</f>
        <v>200</v>
      </c>
      <c r="T24" s="7" t="n">
        <f aca="false">IF(ISNUMBER($E24),IF(AND(ISNUMBER($I24),ISNUMBER($H24)),IF($H24&lt;=$Q24,$I24,IF(AND(ISNUMBER($G24),ISNUMBER($F24)),IF($F24&lt;=$Q24,$G24,$E24),$E24)),IF(AND(ISNUMBER($G24),ISNUMBER($F24)),IF($F24&lt;=$Q24,$G24,$E24),$E24))*(1+IF($J24="Y",0,Assumptions!$B$3)),"")</f>
        <v>2.134</v>
      </c>
      <c r="U24" s="7" t="n">
        <f aca="false">IF(ISNUMBER($E24),IF(AND(ISNUMBER($I24),ISNUMBER($H24)),IF($H24&lt;=$R24,$I24,IF(AND(ISNUMBER($G24),ISNUMBER($F24)),IF($F24&lt;=$R24,$G24,$E24),$E24)),IF(AND(ISNUMBER($G24),ISNUMBER($F24)),IF($F24&lt;=$R24,$G24,$E24),$E24))*(1+IF($J24="Y",0,Assumptions!$B$3)),"")</f>
        <v>1.551</v>
      </c>
      <c r="V24" s="7" t="n">
        <f aca="false">IF(ISNUMBER($E24),IF(AND(ISNUMBER($I24),ISNUMBER($H24)),IF($H24&lt;=$S24,$I24,IF(AND(ISNUMBER($G24),ISNUMBER($F24)),IF($F24&lt;=$S24,$G24,$E24),$E24)),IF(AND(ISNUMBER($G24),ISNUMBER($F24)),IF($F24&lt;=$S24,$G24,$E24),$E24))*(1+IF($J24="Y",0,Assumptions!$B$3)),"")</f>
        <v>1.243</v>
      </c>
      <c r="W24" s="7" t="n">
        <f aca="false">IF(ISNUMBER($T24),$Q24*$T24/Assumptions!$B$4,"")</f>
        <v>4.268</v>
      </c>
      <c r="X24" s="7" t="n">
        <f aca="false">IF(ISNUMBER($U24),$R24*$U24/Assumptions!$B$5,"")</f>
        <v>3.102</v>
      </c>
      <c r="Y24" s="7" t="n">
        <f aca="false">IF(ISNUMBER($V24),$S24*$V24/Assumptions!$B$6,"")</f>
        <v>2.486</v>
      </c>
      <c r="Z24" s="8" t="str">
        <f aca="false">$A24&amp;"|"&amp;IF(ISNUMBER($W24),TEXT($W24,"0.0000"),"x")&amp;"|"&amp;$L24</f>
        <v>H161|4.2680|Y</v>
      </c>
      <c r="AA24" s="8" t="str">
        <f aca="false">$A24&amp;"|"&amp;IF(ISNUMBER($Y24),TEXT($Y24,"0.0000"),"x")&amp;"|"&amp;$L24</f>
        <v>H161|2.4860|Y</v>
      </c>
    </row>
    <row r="25" customFormat="false" ht="15" hidden="false" customHeight="false" outlineLevel="0" collapsed="false">
      <c r="A25" s="16" t="s">
        <v>94</v>
      </c>
      <c r="B25" s="16" t="s">
        <v>292</v>
      </c>
      <c r="C25" s="16" t="s">
        <v>344</v>
      </c>
      <c r="D25" s="17" t="n">
        <v>1</v>
      </c>
      <c r="E25" s="18"/>
      <c r="F25" s="17"/>
      <c r="G25" s="18"/>
      <c r="H25" s="17"/>
      <c r="I25" s="18"/>
      <c r="J25" s="17" t="s">
        <v>263</v>
      </c>
      <c r="K25" s="16"/>
      <c r="L25" s="17" t="s">
        <v>265</v>
      </c>
      <c r="M25" s="16" t="s">
        <v>266</v>
      </c>
      <c r="N25" s="19" t="s">
        <v>345</v>
      </c>
      <c r="O25" s="16" t="s">
        <v>346</v>
      </c>
      <c r="P25" s="8" t="n">
        <f aca="false">IFERROR(VLOOKUP($A25,BOM!$A$2:$E$54,5,0),0)</f>
        <v>2</v>
      </c>
      <c r="Q25" s="8" t="n">
        <f aca="false">CEILING($P25*Assumptions!$B$4/$D25,1)</f>
        <v>2</v>
      </c>
      <c r="R25" s="8" t="n">
        <f aca="false">CEILING($P25*Assumptions!$B$5/$D25,1)</f>
        <v>20</v>
      </c>
      <c r="S25" s="8" t="n">
        <f aca="false">CEILING($P25*Assumptions!$B$6/$D25,1)</f>
        <v>200</v>
      </c>
      <c r="T25" s="7" t="str">
        <f aca="false">IF(ISNUMBER($E25),IF(AND(ISNUMBER($I25),ISNUMBER($H25)),IF($H25&lt;=$Q25,$I25,IF(AND(ISNUMBER($G25),ISNUMBER($F25)),IF($F25&lt;=$Q25,$G25,$E25),$E25)),IF(AND(ISNUMBER($G25),ISNUMBER($F25)),IF($F25&lt;=$Q25,$G25,$E25),$E25))*(1+IF($J25="Y",0,Assumptions!$B$3)),"")</f>
        <v/>
      </c>
      <c r="U25" s="7" t="str">
        <f aca="false">IF(ISNUMBER($E25),IF(AND(ISNUMBER($I25),ISNUMBER($H25)),IF($H25&lt;=$R25,$I25,IF(AND(ISNUMBER($G25),ISNUMBER($F25)),IF($F25&lt;=$R25,$G25,$E25),$E25)),IF(AND(ISNUMBER($G25),ISNUMBER($F25)),IF($F25&lt;=$R25,$G25,$E25),$E25))*(1+IF($J25="Y",0,Assumptions!$B$3)),"")</f>
        <v/>
      </c>
      <c r="V25" s="7" t="str">
        <f aca="false">IF(ISNUMBER($E25),IF(AND(ISNUMBER($I25),ISNUMBER($H25)),IF($H25&lt;=$S25,$I25,IF(AND(ISNUMBER($G25),ISNUMBER($F25)),IF($F25&lt;=$S25,$G25,$E25),$E25)),IF(AND(ISNUMBER($G25),ISNUMBER($F25)),IF($F25&lt;=$S25,$G25,$E25),$E25))*(1+IF($J25="Y",0,Assumptions!$B$3)),"")</f>
        <v/>
      </c>
      <c r="W25" s="7" t="str">
        <f aca="false">IF(ISNUMBER($T25),$Q25*$T25/Assumptions!$B$4,"")</f>
        <v/>
      </c>
      <c r="X25" s="7" t="str">
        <f aca="false">IF(ISNUMBER($U25),$R25*$U25/Assumptions!$B$5,"")</f>
        <v/>
      </c>
      <c r="Y25" s="7" t="str">
        <f aca="false">IF(ISNUMBER($V25),$S25*$V25/Assumptions!$B$6,"")</f>
        <v/>
      </c>
      <c r="Z25" s="8" t="str">
        <f aca="false">$A25&amp;"|"&amp;IF(ISNUMBER($W25),TEXT($W25,"0.0000"),"x")&amp;"|"&amp;$L25</f>
        <v>H161|x|Y</v>
      </c>
      <c r="AA25" s="8" t="str">
        <f aca="false">$A25&amp;"|"&amp;IF(ISNUMBER($Y25),TEXT($Y25,"0.0000"),"x")&amp;"|"&amp;$L25</f>
        <v>H161|x|Y</v>
      </c>
    </row>
    <row r="26" customFormat="false" ht="15" hidden="false" customHeight="false" outlineLevel="0" collapsed="false">
      <c r="A26" s="8" t="s">
        <v>97</v>
      </c>
      <c r="B26" s="8" t="s">
        <v>261</v>
      </c>
      <c r="C26" s="8" t="s">
        <v>347</v>
      </c>
      <c r="D26" s="12" t="n">
        <v>1</v>
      </c>
      <c r="E26" s="14" t="n">
        <v>1.39</v>
      </c>
      <c r="F26" s="12" t="n">
        <v>10</v>
      </c>
      <c r="G26" s="14" t="n">
        <v>1.02</v>
      </c>
      <c r="H26" s="12" t="n">
        <v>100</v>
      </c>
      <c r="I26" s="14" t="n">
        <v>0.822</v>
      </c>
      <c r="J26" s="12" t="s">
        <v>263</v>
      </c>
      <c r="K26" s="8" t="s">
        <v>348</v>
      </c>
      <c r="L26" s="12" t="s">
        <v>265</v>
      </c>
      <c r="M26" s="8" t="s">
        <v>266</v>
      </c>
      <c r="N26" s="15" t="s">
        <v>349</v>
      </c>
      <c r="O26" s="8" t="s">
        <v>323</v>
      </c>
      <c r="P26" s="8" t="n">
        <f aca="false">IFERROR(VLOOKUP($A26,BOM!$A$2:$E$54,5,0),0)</f>
        <v>9</v>
      </c>
      <c r="Q26" s="8" t="n">
        <f aca="false">CEILING($P26*Assumptions!$B$4/$D26,1)</f>
        <v>9</v>
      </c>
      <c r="R26" s="8" t="n">
        <f aca="false">CEILING($P26*Assumptions!$B$5/$D26,1)</f>
        <v>90</v>
      </c>
      <c r="S26" s="8" t="n">
        <f aca="false">CEILING($P26*Assumptions!$B$6/$D26,1)</f>
        <v>900</v>
      </c>
      <c r="T26" s="7" t="n">
        <f aca="false">IF(ISNUMBER($E26),IF(AND(ISNUMBER($I26),ISNUMBER($H26)),IF($H26&lt;=$Q26,$I26,IF(AND(ISNUMBER($G26),ISNUMBER($F26)),IF($F26&lt;=$Q26,$G26,$E26),$E26)),IF(AND(ISNUMBER($G26),ISNUMBER($F26)),IF($F26&lt;=$Q26,$G26,$E26),$E26))*(1+IF($J26="Y",0,Assumptions!$B$3)),"")</f>
        <v>1.529</v>
      </c>
      <c r="U26" s="7" t="n">
        <f aca="false">IF(ISNUMBER($E26),IF(AND(ISNUMBER($I26),ISNUMBER($H26)),IF($H26&lt;=$R26,$I26,IF(AND(ISNUMBER($G26),ISNUMBER($F26)),IF($F26&lt;=$R26,$G26,$E26),$E26)),IF(AND(ISNUMBER($G26),ISNUMBER($F26)),IF($F26&lt;=$R26,$G26,$E26),$E26))*(1+IF($J26="Y",0,Assumptions!$B$3)),"")</f>
        <v>1.122</v>
      </c>
      <c r="V26" s="7" t="n">
        <f aca="false">IF(ISNUMBER($E26),IF(AND(ISNUMBER($I26),ISNUMBER($H26)),IF($H26&lt;=$S26,$I26,IF(AND(ISNUMBER($G26),ISNUMBER($F26)),IF($F26&lt;=$S26,$G26,$E26),$E26)),IF(AND(ISNUMBER($G26),ISNUMBER($F26)),IF($F26&lt;=$S26,$G26,$E26),$E26))*(1+IF($J26="Y",0,Assumptions!$B$3)),"")</f>
        <v>0.9042</v>
      </c>
      <c r="W26" s="7" t="n">
        <f aca="false">IF(ISNUMBER($T26),$Q26*$T26/Assumptions!$B$4,"")</f>
        <v>13.761</v>
      </c>
      <c r="X26" s="7" t="n">
        <f aca="false">IF(ISNUMBER($U26),$R26*$U26/Assumptions!$B$5,"")</f>
        <v>10.098</v>
      </c>
      <c r="Y26" s="7" t="n">
        <f aca="false">IF(ISNUMBER($V26),$S26*$V26/Assumptions!$B$6,"")</f>
        <v>8.1378</v>
      </c>
      <c r="Z26" s="8" t="str">
        <f aca="false">$A26&amp;"|"&amp;IF(ISNUMBER($W26),TEXT($W26,"0.0000"),"x")&amp;"|"&amp;$L26</f>
        <v>H173|13.7610|Y</v>
      </c>
      <c r="AA26" s="8" t="str">
        <f aca="false">$A26&amp;"|"&amp;IF(ISNUMBER($Y26),TEXT($Y26,"0.0000"),"x")&amp;"|"&amp;$L26</f>
        <v>H173|8.1378|Y</v>
      </c>
    </row>
    <row r="27" customFormat="false" ht="15" hidden="false" customHeight="false" outlineLevel="0" collapsed="false">
      <c r="A27" s="8" t="s">
        <v>97</v>
      </c>
      <c r="B27" s="8" t="s">
        <v>269</v>
      </c>
      <c r="C27" s="8" t="s">
        <v>350</v>
      </c>
      <c r="D27" s="12" t="n">
        <v>1</v>
      </c>
      <c r="E27" s="14" t="n">
        <v>1.12</v>
      </c>
      <c r="F27" s="12" t="n">
        <v>10</v>
      </c>
      <c r="G27" s="14" t="n">
        <v>1.01</v>
      </c>
      <c r="H27" s="12" t="n">
        <v>25</v>
      </c>
      <c r="I27" s="14" t="n">
        <v>0.8</v>
      </c>
      <c r="J27" s="12" t="s">
        <v>265</v>
      </c>
      <c r="K27" s="8" t="s">
        <v>270</v>
      </c>
      <c r="L27" s="12" t="s">
        <v>265</v>
      </c>
      <c r="M27" s="8" t="s">
        <v>266</v>
      </c>
      <c r="N27" s="15" t="s">
        <v>351</v>
      </c>
      <c r="O27" s="8" t="s">
        <v>352</v>
      </c>
      <c r="P27" s="8" t="n">
        <f aca="false">IFERROR(VLOOKUP($A27,BOM!$A$2:$E$54,5,0),0)</f>
        <v>9</v>
      </c>
      <c r="Q27" s="8" t="n">
        <f aca="false">CEILING($P27*Assumptions!$B$4/$D27,1)</f>
        <v>9</v>
      </c>
      <c r="R27" s="8" t="n">
        <f aca="false">CEILING($P27*Assumptions!$B$5/$D27,1)</f>
        <v>90</v>
      </c>
      <c r="S27" s="8" t="n">
        <f aca="false">CEILING($P27*Assumptions!$B$6/$D27,1)</f>
        <v>900</v>
      </c>
      <c r="T27" s="7" t="n">
        <f aca="false">IF(ISNUMBER($E27),IF(AND(ISNUMBER($I27),ISNUMBER($H27)),IF($H27&lt;=$Q27,$I27,IF(AND(ISNUMBER($G27),ISNUMBER($F27)),IF($F27&lt;=$Q27,$G27,$E27),$E27)),IF(AND(ISNUMBER($G27),ISNUMBER($F27)),IF($F27&lt;=$Q27,$G27,$E27),$E27))*(1+IF($J27="Y",0,Assumptions!$B$3)),"")</f>
        <v>1.12</v>
      </c>
      <c r="U27" s="7" t="n">
        <f aca="false">IF(ISNUMBER($E27),IF(AND(ISNUMBER($I27),ISNUMBER($H27)),IF($H27&lt;=$R27,$I27,IF(AND(ISNUMBER($G27),ISNUMBER($F27)),IF($F27&lt;=$R27,$G27,$E27),$E27)),IF(AND(ISNUMBER($G27),ISNUMBER($F27)),IF($F27&lt;=$R27,$G27,$E27),$E27))*(1+IF($J27="Y",0,Assumptions!$B$3)),"")</f>
        <v>0.8</v>
      </c>
      <c r="V27" s="7" t="n">
        <f aca="false">IF(ISNUMBER($E27),IF(AND(ISNUMBER($I27),ISNUMBER($H27)),IF($H27&lt;=$S27,$I27,IF(AND(ISNUMBER($G27),ISNUMBER($F27)),IF($F27&lt;=$S27,$G27,$E27),$E27)),IF(AND(ISNUMBER($G27),ISNUMBER($F27)),IF($F27&lt;=$S27,$G27,$E27),$E27))*(1+IF($J27="Y",0,Assumptions!$B$3)),"")</f>
        <v>0.8</v>
      </c>
      <c r="W27" s="7" t="n">
        <f aca="false">IF(ISNUMBER($T27),$Q27*$T27/Assumptions!$B$4,"")</f>
        <v>10.08</v>
      </c>
      <c r="X27" s="7" t="n">
        <f aca="false">IF(ISNUMBER($U27),$R27*$U27/Assumptions!$B$5,"")</f>
        <v>7.2</v>
      </c>
      <c r="Y27" s="7" t="n">
        <f aca="false">IF(ISNUMBER($V27),$S27*$V27/Assumptions!$B$6,"")</f>
        <v>7.2</v>
      </c>
      <c r="Z27" s="8" t="str">
        <f aca="false">$A27&amp;"|"&amp;IF(ISNUMBER($W27),TEXT($W27,"0.0000"),"x")&amp;"|"&amp;$L27</f>
        <v>H173|10.0800|Y</v>
      </c>
      <c r="AA27" s="8" t="str">
        <f aca="false">$A27&amp;"|"&amp;IF(ISNUMBER($Y27),TEXT($Y27,"0.0000"),"x")&amp;"|"&amp;$L27</f>
        <v>H173|7.2000|Y</v>
      </c>
    </row>
    <row r="28" customFormat="false" ht="15" hidden="false" customHeight="false" outlineLevel="0" collapsed="false">
      <c r="A28" s="8" t="s">
        <v>100</v>
      </c>
      <c r="B28" s="8" t="s">
        <v>261</v>
      </c>
      <c r="C28" s="8" t="s">
        <v>353</v>
      </c>
      <c r="D28" s="12" t="n">
        <v>1</v>
      </c>
      <c r="E28" s="14" t="n">
        <v>2</v>
      </c>
      <c r="F28" s="12" t="n">
        <v>10</v>
      </c>
      <c r="G28" s="14" t="n">
        <v>1.46</v>
      </c>
      <c r="H28" s="12" t="n">
        <v>100</v>
      </c>
      <c r="I28" s="14" t="n">
        <v>1.17</v>
      </c>
      <c r="J28" s="12" t="s">
        <v>263</v>
      </c>
      <c r="K28" s="8" t="s">
        <v>354</v>
      </c>
      <c r="L28" s="12" t="s">
        <v>265</v>
      </c>
      <c r="M28" s="8" t="s">
        <v>266</v>
      </c>
      <c r="N28" s="15" t="s">
        <v>355</v>
      </c>
      <c r="O28" s="8" t="s">
        <v>323</v>
      </c>
      <c r="P28" s="8" t="n">
        <f aca="false">IFERROR(VLOOKUP($A28,BOM!$A$2:$E$54,5,0),0)</f>
        <v>1</v>
      </c>
      <c r="Q28" s="8" t="n">
        <f aca="false">CEILING($P28*Assumptions!$B$4/$D28,1)</f>
        <v>1</v>
      </c>
      <c r="R28" s="8" t="n">
        <f aca="false">CEILING($P28*Assumptions!$B$5/$D28,1)</f>
        <v>10</v>
      </c>
      <c r="S28" s="8" t="n">
        <f aca="false">CEILING($P28*Assumptions!$B$6/$D28,1)</f>
        <v>100</v>
      </c>
      <c r="T28" s="7" t="n">
        <f aca="false">IF(ISNUMBER($E28),IF(AND(ISNUMBER($I28),ISNUMBER($H28)),IF($H28&lt;=$Q28,$I28,IF(AND(ISNUMBER($G28),ISNUMBER($F28)),IF($F28&lt;=$Q28,$G28,$E28),$E28)),IF(AND(ISNUMBER($G28),ISNUMBER($F28)),IF($F28&lt;=$Q28,$G28,$E28),$E28))*(1+IF($J28="Y",0,Assumptions!$B$3)),"")</f>
        <v>2.2</v>
      </c>
      <c r="U28" s="7" t="n">
        <f aca="false">IF(ISNUMBER($E28),IF(AND(ISNUMBER($I28),ISNUMBER($H28)),IF($H28&lt;=$R28,$I28,IF(AND(ISNUMBER($G28),ISNUMBER($F28)),IF($F28&lt;=$R28,$G28,$E28),$E28)),IF(AND(ISNUMBER($G28),ISNUMBER($F28)),IF($F28&lt;=$R28,$G28,$E28),$E28))*(1+IF($J28="Y",0,Assumptions!$B$3)),"")</f>
        <v>1.606</v>
      </c>
      <c r="V28" s="7" t="n">
        <f aca="false">IF(ISNUMBER($E28),IF(AND(ISNUMBER($I28),ISNUMBER($H28)),IF($H28&lt;=$S28,$I28,IF(AND(ISNUMBER($G28),ISNUMBER($F28)),IF($F28&lt;=$S28,$G28,$E28),$E28)),IF(AND(ISNUMBER($G28),ISNUMBER($F28)),IF($F28&lt;=$S28,$G28,$E28),$E28))*(1+IF($J28="Y",0,Assumptions!$B$3)),"")</f>
        <v>1.287</v>
      </c>
      <c r="W28" s="7" t="n">
        <f aca="false">IF(ISNUMBER($T28),$Q28*$T28/Assumptions!$B$4,"")</f>
        <v>2.2</v>
      </c>
      <c r="X28" s="7" t="n">
        <f aca="false">IF(ISNUMBER($U28),$R28*$U28/Assumptions!$B$5,"")</f>
        <v>1.606</v>
      </c>
      <c r="Y28" s="7" t="n">
        <f aca="false">IF(ISNUMBER($V28),$S28*$V28/Assumptions!$B$6,"")</f>
        <v>1.287</v>
      </c>
      <c r="Z28" s="8" t="str">
        <f aca="false">$A28&amp;"|"&amp;IF(ISNUMBER($W28),TEXT($W28,"0.0000"),"x")&amp;"|"&amp;$L28</f>
        <v>H174|2.2000|Y</v>
      </c>
      <c r="AA28" s="8" t="str">
        <f aca="false">$A28&amp;"|"&amp;IF(ISNUMBER($Y28),TEXT($Y28,"0.0000"),"x")&amp;"|"&amp;$L28</f>
        <v>H174|1.2870|Y</v>
      </c>
    </row>
    <row r="29" customFormat="false" ht="15" hidden="false" customHeight="false" outlineLevel="0" collapsed="false">
      <c r="A29" s="16" t="s">
        <v>100</v>
      </c>
      <c r="B29" s="16" t="s">
        <v>292</v>
      </c>
      <c r="C29" s="16" t="s">
        <v>356</v>
      </c>
      <c r="D29" s="17" t="n">
        <v>1</v>
      </c>
      <c r="E29" s="18"/>
      <c r="F29" s="17"/>
      <c r="G29" s="18"/>
      <c r="H29" s="17"/>
      <c r="I29" s="18"/>
      <c r="J29" s="17" t="s">
        <v>263</v>
      </c>
      <c r="K29" s="16"/>
      <c r="L29" s="17" t="s">
        <v>265</v>
      </c>
      <c r="M29" s="16" t="s">
        <v>266</v>
      </c>
      <c r="N29" s="19" t="s">
        <v>357</v>
      </c>
      <c r="O29" s="16" t="s">
        <v>358</v>
      </c>
      <c r="P29" s="8" t="n">
        <f aca="false">IFERROR(VLOOKUP($A29,BOM!$A$2:$E$54,5,0),0)</f>
        <v>1</v>
      </c>
      <c r="Q29" s="8" t="n">
        <f aca="false">CEILING($P29*Assumptions!$B$4/$D29,1)</f>
        <v>1</v>
      </c>
      <c r="R29" s="8" t="n">
        <f aca="false">CEILING($P29*Assumptions!$B$5/$D29,1)</f>
        <v>10</v>
      </c>
      <c r="S29" s="8" t="n">
        <f aca="false">CEILING($P29*Assumptions!$B$6/$D29,1)</f>
        <v>100</v>
      </c>
      <c r="T29" s="7" t="str">
        <f aca="false">IF(ISNUMBER($E29),IF(AND(ISNUMBER($I29),ISNUMBER($H29)),IF($H29&lt;=$Q29,$I29,IF(AND(ISNUMBER($G29),ISNUMBER($F29)),IF($F29&lt;=$Q29,$G29,$E29),$E29)),IF(AND(ISNUMBER($G29),ISNUMBER($F29)),IF($F29&lt;=$Q29,$G29,$E29),$E29))*(1+IF($J29="Y",0,Assumptions!$B$3)),"")</f>
        <v/>
      </c>
      <c r="U29" s="7" t="str">
        <f aca="false">IF(ISNUMBER($E29),IF(AND(ISNUMBER($I29),ISNUMBER($H29)),IF($H29&lt;=$R29,$I29,IF(AND(ISNUMBER($G29),ISNUMBER($F29)),IF($F29&lt;=$R29,$G29,$E29),$E29)),IF(AND(ISNUMBER($G29),ISNUMBER($F29)),IF($F29&lt;=$R29,$G29,$E29),$E29))*(1+IF($J29="Y",0,Assumptions!$B$3)),"")</f>
        <v/>
      </c>
      <c r="V29" s="7" t="str">
        <f aca="false">IF(ISNUMBER($E29),IF(AND(ISNUMBER($I29),ISNUMBER($H29)),IF($H29&lt;=$S29,$I29,IF(AND(ISNUMBER($G29),ISNUMBER($F29)),IF($F29&lt;=$S29,$G29,$E29),$E29)),IF(AND(ISNUMBER($G29),ISNUMBER($F29)),IF($F29&lt;=$S29,$G29,$E29),$E29))*(1+IF($J29="Y",0,Assumptions!$B$3)),"")</f>
        <v/>
      </c>
      <c r="W29" s="7" t="str">
        <f aca="false">IF(ISNUMBER($T29),$Q29*$T29/Assumptions!$B$4,"")</f>
        <v/>
      </c>
      <c r="X29" s="7" t="str">
        <f aca="false">IF(ISNUMBER($U29),$R29*$U29/Assumptions!$B$5,"")</f>
        <v/>
      </c>
      <c r="Y29" s="7" t="str">
        <f aca="false">IF(ISNUMBER($V29),$S29*$V29/Assumptions!$B$6,"")</f>
        <v/>
      </c>
      <c r="Z29" s="8" t="str">
        <f aca="false">$A29&amp;"|"&amp;IF(ISNUMBER($W29),TEXT($W29,"0.0000"),"x")&amp;"|"&amp;$L29</f>
        <v>H174|x|Y</v>
      </c>
      <c r="AA29" s="8" t="str">
        <f aca="false">$A29&amp;"|"&amp;IF(ISNUMBER($Y29),TEXT($Y29,"0.0000"),"x")&amp;"|"&amp;$L29</f>
        <v>H174|x|Y</v>
      </c>
    </row>
    <row r="30" customFormat="false" ht="15" hidden="false" customHeight="false" outlineLevel="0" collapsed="false">
      <c r="A30" s="8" t="s">
        <v>103</v>
      </c>
      <c r="B30" s="8" t="s">
        <v>261</v>
      </c>
      <c r="C30" s="8" t="s">
        <v>359</v>
      </c>
      <c r="D30" s="12" t="n">
        <v>1</v>
      </c>
      <c r="E30" s="14" t="n">
        <v>1.41</v>
      </c>
      <c r="F30" s="12" t="n">
        <v>10</v>
      </c>
      <c r="G30" s="14" t="n">
        <v>0.992</v>
      </c>
      <c r="H30" s="12" t="n">
        <v>100</v>
      </c>
      <c r="I30" s="14" t="n">
        <v>0.832</v>
      </c>
      <c r="J30" s="12" t="s">
        <v>263</v>
      </c>
      <c r="K30" s="8" t="s">
        <v>360</v>
      </c>
      <c r="L30" s="12" t="s">
        <v>265</v>
      </c>
      <c r="M30" s="8" t="s">
        <v>266</v>
      </c>
      <c r="N30" s="15" t="s">
        <v>361</v>
      </c>
      <c r="O30" s="8" t="s">
        <v>362</v>
      </c>
      <c r="P30" s="8" t="n">
        <f aca="false">IFERROR(VLOOKUP($A30,BOM!$A$2:$E$54,5,0),0)</f>
        <v>9</v>
      </c>
      <c r="Q30" s="8" t="n">
        <f aca="false">CEILING($P30*Assumptions!$B$4/$D30,1)</f>
        <v>9</v>
      </c>
      <c r="R30" s="8" t="n">
        <f aca="false">CEILING($P30*Assumptions!$B$5/$D30,1)</f>
        <v>90</v>
      </c>
      <c r="S30" s="8" t="n">
        <f aca="false">CEILING($P30*Assumptions!$B$6/$D30,1)</f>
        <v>900</v>
      </c>
      <c r="T30" s="7" t="n">
        <f aca="false">IF(ISNUMBER($E30),IF(AND(ISNUMBER($I30),ISNUMBER($H30)),IF($H30&lt;=$Q30,$I30,IF(AND(ISNUMBER($G30),ISNUMBER($F30)),IF($F30&lt;=$Q30,$G30,$E30),$E30)),IF(AND(ISNUMBER($G30),ISNUMBER($F30)),IF($F30&lt;=$Q30,$G30,$E30),$E30))*(1+IF($J30="Y",0,Assumptions!$B$3)),"")</f>
        <v>1.551</v>
      </c>
      <c r="U30" s="7" t="n">
        <f aca="false">IF(ISNUMBER($E30),IF(AND(ISNUMBER($I30),ISNUMBER($H30)),IF($H30&lt;=$R30,$I30,IF(AND(ISNUMBER($G30),ISNUMBER($F30)),IF($F30&lt;=$R30,$G30,$E30),$E30)),IF(AND(ISNUMBER($G30),ISNUMBER($F30)),IF($F30&lt;=$R30,$G30,$E30),$E30))*(1+IF($J30="Y",0,Assumptions!$B$3)),"")</f>
        <v>1.0912</v>
      </c>
      <c r="V30" s="7" t="n">
        <f aca="false">IF(ISNUMBER($E30),IF(AND(ISNUMBER($I30),ISNUMBER($H30)),IF($H30&lt;=$S30,$I30,IF(AND(ISNUMBER($G30),ISNUMBER($F30)),IF($F30&lt;=$S30,$G30,$E30),$E30)),IF(AND(ISNUMBER($G30),ISNUMBER($F30)),IF($F30&lt;=$S30,$G30,$E30),$E30))*(1+IF($J30="Y",0,Assumptions!$B$3)),"")</f>
        <v>0.9152</v>
      </c>
      <c r="W30" s="7" t="n">
        <f aca="false">IF(ISNUMBER($T30),$Q30*$T30/Assumptions!$B$4,"")</f>
        <v>13.959</v>
      </c>
      <c r="X30" s="7" t="n">
        <f aca="false">IF(ISNUMBER($U30),$R30*$U30/Assumptions!$B$5,"")</f>
        <v>9.8208</v>
      </c>
      <c r="Y30" s="7" t="n">
        <f aca="false">IF(ISNUMBER($V30),$S30*$V30/Assumptions!$B$6,"")</f>
        <v>8.2368</v>
      </c>
      <c r="Z30" s="8" t="str">
        <f aca="false">$A30&amp;"|"&amp;IF(ISNUMBER($W30),TEXT($W30,"0.0000"),"x")&amp;"|"&amp;$L30</f>
        <v>H245|13.9590|Y</v>
      </c>
      <c r="AA30" s="8" t="str">
        <f aca="false">$A30&amp;"|"&amp;IF(ISNUMBER($Y30),TEXT($Y30,"0.0000"),"x")&amp;"|"&amp;$L30</f>
        <v>H245|8.2368|Y</v>
      </c>
    </row>
    <row r="31" customFormat="false" ht="15" hidden="false" customHeight="false" outlineLevel="0" collapsed="false">
      <c r="A31" s="8" t="s">
        <v>103</v>
      </c>
      <c r="B31" s="8" t="s">
        <v>292</v>
      </c>
      <c r="C31" s="8" t="s">
        <v>363</v>
      </c>
      <c r="D31" s="12" t="n">
        <v>1</v>
      </c>
      <c r="E31" s="14" t="n">
        <v>1.46</v>
      </c>
      <c r="F31" s="12" t="n">
        <v>10</v>
      </c>
      <c r="G31" s="14" t="n">
        <v>0.926</v>
      </c>
      <c r="H31" s="12" t="n">
        <v>100</v>
      </c>
      <c r="I31" s="14" t="n">
        <v>0.797</v>
      </c>
      <c r="J31" s="12" t="s">
        <v>263</v>
      </c>
      <c r="K31" s="8" t="s">
        <v>364</v>
      </c>
      <c r="L31" s="12" t="s">
        <v>265</v>
      </c>
      <c r="M31" s="8" t="s">
        <v>266</v>
      </c>
      <c r="N31" s="15" t="s">
        <v>365</v>
      </c>
      <c r="O31" s="8" t="s">
        <v>366</v>
      </c>
      <c r="P31" s="8" t="n">
        <f aca="false">IFERROR(VLOOKUP($A31,BOM!$A$2:$E$54,5,0),0)</f>
        <v>9</v>
      </c>
      <c r="Q31" s="8" t="n">
        <f aca="false">CEILING($P31*Assumptions!$B$4/$D31,1)</f>
        <v>9</v>
      </c>
      <c r="R31" s="8" t="n">
        <f aca="false">CEILING($P31*Assumptions!$B$5/$D31,1)</f>
        <v>90</v>
      </c>
      <c r="S31" s="8" t="n">
        <f aca="false">CEILING($P31*Assumptions!$B$6/$D31,1)</f>
        <v>900</v>
      </c>
      <c r="T31" s="7" t="n">
        <f aca="false">IF(ISNUMBER($E31),IF(AND(ISNUMBER($I31),ISNUMBER($H31)),IF($H31&lt;=$Q31,$I31,IF(AND(ISNUMBER($G31),ISNUMBER($F31)),IF($F31&lt;=$Q31,$G31,$E31),$E31)),IF(AND(ISNUMBER($G31),ISNUMBER($F31)),IF($F31&lt;=$Q31,$G31,$E31),$E31))*(1+IF($J31="Y",0,Assumptions!$B$3)),"")</f>
        <v>1.606</v>
      </c>
      <c r="U31" s="7" t="n">
        <f aca="false">IF(ISNUMBER($E31),IF(AND(ISNUMBER($I31),ISNUMBER($H31)),IF($H31&lt;=$R31,$I31,IF(AND(ISNUMBER($G31),ISNUMBER($F31)),IF($F31&lt;=$R31,$G31,$E31),$E31)),IF(AND(ISNUMBER($G31),ISNUMBER($F31)),IF($F31&lt;=$R31,$G31,$E31),$E31))*(1+IF($J31="Y",0,Assumptions!$B$3)),"")</f>
        <v>1.0186</v>
      </c>
      <c r="V31" s="7" t="n">
        <f aca="false">IF(ISNUMBER($E31),IF(AND(ISNUMBER($I31),ISNUMBER($H31)),IF($H31&lt;=$S31,$I31,IF(AND(ISNUMBER($G31),ISNUMBER($F31)),IF($F31&lt;=$S31,$G31,$E31),$E31)),IF(AND(ISNUMBER($G31),ISNUMBER($F31)),IF($F31&lt;=$S31,$G31,$E31),$E31))*(1+IF($J31="Y",0,Assumptions!$B$3)),"")</f>
        <v>0.8767</v>
      </c>
      <c r="W31" s="7" t="n">
        <f aca="false">IF(ISNUMBER($T31),$Q31*$T31/Assumptions!$B$4,"")</f>
        <v>14.454</v>
      </c>
      <c r="X31" s="7" t="n">
        <f aca="false">IF(ISNUMBER($U31),$R31*$U31/Assumptions!$B$5,"")</f>
        <v>9.1674</v>
      </c>
      <c r="Y31" s="7" t="n">
        <f aca="false">IF(ISNUMBER($V31),$S31*$V31/Assumptions!$B$6,"")</f>
        <v>7.8903</v>
      </c>
      <c r="Z31" s="8" t="str">
        <f aca="false">$A31&amp;"|"&amp;IF(ISNUMBER($W31),TEXT($W31,"0.0000"),"x")&amp;"|"&amp;$L31</f>
        <v>H245|14.4540|Y</v>
      </c>
      <c r="AA31" s="8" t="str">
        <f aca="false">$A31&amp;"|"&amp;IF(ISNUMBER($Y31),TEXT($Y31,"0.0000"),"x")&amp;"|"&amp;$L31</f>
        <v>H245|7.8903|Y</v>
      </c>
    </row>
    <row r="32" customFormat="false" ht="15" hidden="false" customHeight="false" outlineLevel="0" collapsed="false">
      <c r="A32" s="8" t="s">
        <v>106</v>
      </c>
      <c r="B32" s="8" t="s">
        <v>261</v>
      </c>
      <c r="C32" s="8" t="s">
        <v>367</v>
      </c>
      <c r="D32" s="12" t="n">
        <v>1</v>
      </c>
      <c r="E32" s="14" t="n">
        <v>2.03</v>
      </c>
      <c r="F32" s="12" t="n">
        <v>10</v>
      </c>
      <c r="G32" s="14" t="n">
        <v>1.46</v>
      </c>
      <c r="H32" s="12" t="n">
        <v>100</v>
      </c>
      <c r="I32" s="14" t="n">
        <v>1.16</v>
      </c>
      <c r="J32" s="12" t="s">
        <v>263</v>
      </c>
      <c r="K32" s="8" t="s">
        <v>368</v>
      </c>
      <c r="L32" s="12" t="s">
        <v>265</v>
      </c>
      <c r="M32" s="8" t="s">
        <v>266</v>
      </c>
      <c r="N32" s="15" t="s">
        <v>369</v>
      </c>
      <c r="O32" s="8" t="s">
        <v>370</v>
      </c>
      <c r="P32" s="8" t="n">
        <f aca="false">IFERROR(VLOOKUP($A32,BOM!$A$2:$E$54,5,0),0)</f>
        <v>2</v>
      </c>
      <c r="Q32" s="8" t="n">
        <f aca="false">CEILING($P32*Assumptions!$B$4/$D32,1)</f>
        <v>2</v>
      </c>
      <c r="R32" s="8" t="n">
        <f aca="false">CEILING($P32*Assumptions!$B$5/$D32,1)</f>
        <v>20</v>
      </c>
      <c r="S32" s="8" t="n">
        <f aca="false">CEILING($P32*Assumptions!$B$6/$D32,1)</f>
        <v>200</v>
      </c>
      <c r="T32" s="7" t="n">
        <f aca="false">IF(ISNUMBER($E32),IF(AND(ISNUMBER($I32),ISNUMBER($H32)),IF($H32&lt;=$Q32,$I32,IF(AND(ISNUMBER($G32),ISNUMBER($F32)),IF($F32&lt;=$Q32,$G32,$E32),$E32)),IF(AND(ISNUMBER($G32),ISNUMBER($F32)),IF($F32&lt;=$Q32,$G32,$E32),$E32))*(1+IF($J32="Y",0,Assumptions!$B$3)),"")</f>
        <v>2.233</v>
      </c>
      <c r="U32" s="7" t="n">
        <f aca="false">IF(ISNUMBER($E32),IF(AND(ISNUMBER($I32),ISNUMBER($H32)),IF($H32&lt;=$R32,$I32,IF(AND(ISNUMBER($G32),ISNUMBER($F32)),IF($F32&lt;=$R32,$G32,$E32),$E32)),IF(AND(ISNUMBER($G32),ISNUMBER($F32)),IF($F32&lt;=$R32,$G32,$E32),$E32))*(1+IF($J32="Y",0,Assumptions!$B$3)),"")</f>
        <v>1.606</v>
      </c>
      <c r="V32" s="7" t="n">
        <f aca="false">IF(ISNUMBER($E32),IF(AND(ISNUMBER($I32),ISNUMBER($H32)),IF($H32&lt;=$S32,$I32,IF(AND(ISNUMBER($G32),ISNUMBER($F32)),IF($F32&lt;=$S32,$G32,$E32),$E32)),IF(AND(ISNUMBER($G32),ISNUMBER($F32)),IF($F32&lt;=$S32,$G32,$E32),$E32))*(1+IF($J32="Y",0,Assumptions!$B$3)),"")</f>
        <v>1.276</v>
      </c>
      <c r="W32" s="7" t="n">
        <f aca="false">IF(ISNUMBER($T32),$Q32*$T32/Assumptions!$B$4,"")</f>
        <v>4.466</v>
      </c>
      <c r="X32" s="7" t="n">
        <f aca="false">IF(ISNUMBER($U32),$R32*$U32/Assumptions!$B$5,"")</f>
        <v>3.212</v>
      </c>
      <c r="Y32" s="7" t="n">
        <f aca="false">IF(ISNUMBER($V32),$S32*$V32/Assumptions!$B$6,"")</f>
        <v>2.552</v>
      </c>
      <c r="Z32" s="8" t="str">
        <f aca="false">$A32&amp;"|"&amp;IF(ISNUMBER($W32),TEXT($W32,"0.0000"),"x")&amp;"|"&amp;$L32</f>
        <v>H283|4.4660|Y</v>
      </c>
      <c r="AA32" s="8" t="str">
        <f aca="false">$A32&amp;"|"&amp;IF(ISNUMBER($Y32),TEXT($Y32,"0.0000"),"x")&amp;"|"&amp;$L32</f>
        <v>H283|2.5520|Y</v>
      </c>
    </row>
    <row r="33" customFormat="false" ht="15" hidden="false" customHeight="false" outlineLevel="0" collapsed="false">
      <c r="A33" s="8" t="s">
        <v>106</v>
      </c>
      <c r="B33" s="8" t="s">
        <v>261</v>
      </c>
      <c r="C33" s="8" t="s">
        <v>371</v>
      </c>
      <c r="D33" s="12" t="n">
        <v>1</v>
      </c>
      <c r="E33" s="14" t="n">
        <v>2.04</v>
      </c>
      <c r="F33" s="12" t="n">
        <v>10</v>
      </c>
      <c r="G33" s="14" t="n">
        <v>1.49</v>
      </c>
      <c r="H33" s="12" t="n">
        <v>100</v>
      </c>
      <c r="I33" s="14" t="n">
        <v>1.19</v>
      </c>
      <c r="J33" s="12" t="s">
        <v>263</v>
      </c>
      <c r="K33" s="8" t="s">
        <v>372</v>
      </c>
      <c r="L33" s="12" t="s">
        <v>265</v>
      </c>
      <c r="M33" s="8" t="s">
        <v>266</v>
      </c>
      <c r="N33" s="15" t="s">
        <v>373</v>
      </c>
      <c r="O33" s="8" t="s">
        <v>374</v>
      </c>
      <c r="P33" s="8" t="n">
        <f aca="false">IFERROR(VLOOKUP($A33,BOM!$A$2:$E$54,5,0),0)</f>
        <v>2</v>
      </c>
      <c r="Q33" s="8" t="n">
        <f aca="false">CEILING($P33*Assumptions!$B$4/$D33,1)</f>
        <v>2</v>
      </c>
      <c r="R33" s="8" t="n">
        <f aca="false">CEILING($P33*Assumptions!$B$5/$D33,1)</f>
        <v>20</v>
      </c>
      <c r="S33" s="8" t="n">
        <f aca="false">CEILING($P33*Assumptions!$B$6/$D33,1)</f>
        <v>200</v>
      </c>
      <c r="T33" s="7" t="n">
        <f aca="false">IF(ISNUMBER($E33),IF(AND(ISNUMBER($I33),ISNUMBER($H33)),IF($H33&lt;=$Q33,$I33,IF(AND(ISNUMBER($G33),ISNUMBER($F33)),IF($F33&lt;=$Q33,$G33,$E33),$E33)),IF(AND(ISNUMBER($G33),ISNUMBER($F33)),IF($F33&lt;=$Q33,$G33,$E33),$E33))*(1+IF($J33="Y",0,Assumptions!$B$3)),"")</f>
        <v>2.244</v>
      </c>
      <c r="U33" s="7" t="n">
        <f aca="false">IF(ISNUMBER($E33),IF(AND(ISNUMBER($I33),ISNUMBER($H33)),IF($H33&lt;=$R33,$I33,IF(AND(ISNUMBER($G33),ISNUMBER($F33)),IF($F33&lt;=$R33,$G33,$E33),$E33)),IF(AND(ISNUMBER($G33),ISNUMBER($F33)),IF($F33&lt;=$R33,$G33,$E33),$E33))*(1+IF($J33="Y",0,Assumptions!$B$3)),"")</f>
        <v>1.639</v>
      </c>
      <c r="V33" s="7" t="n">
        <f aca="false">IF(ISNUMBER($E33),IF(AND(ISNUMBER($I33),ISNUMBER($H33)),IF($H33&lt;=$S33,$I33,IF(AND(ISNUMBER($G33),ISNUMBER($F33)),IF($F33&lt;=$S33,$G33,$E33),$E33)),IF(AND(ISNUMBER($G33),ISNUMBER($F33)),IF($F33&lt;=$S33,$G33,$E33),$E33))*(1+IF($J33="Y",0,Assumptions!$B$3)),"")</f>
        <v>1.309</v>
      </c>
      <c r="W33" s="7" t="n">
        <f aca="false">IF(ISNUMBER($T33),$Q33*$T33/Assumptions!$B$4,"")</f>
        <v>4.488</v>
      </c>
      <c r="X33" s="7" t="n">
        <f aca="false">IF(ISNUMBER($U33),$R33*$U33/Assumptions!$B$5,"")</f>
        <v>3.278</v>
      </c>
      <c r="Y33" s="7" t="n">
        <f aca="false">IF(ISNUMBER($V33),$S33*$V33/Assumptions!$B$6,"")</f>
        <v>2.618</v>
      </c>
      <c r="Z33" s="8" t="str">
        <f aca="false">$A33&amp;"|"&amp;IF(ISNUMBER($W33),TEXT($W33,"0.0000"),"x")&amp;"|"&amp;$L33</f>
        <v>H283|4.4880|Y</v>
      </c>
      <c r="AA33" s="8" t="str">
        <f aca="false">$A33&amp;"|"&amp;IF(ISNUMBER($Y33),TEXT($Y33,"0.0000"),"x")&amp;"|"&amp;$L33</f>
        <v>H283|2.6180|Y</v>
      </c>
    </row>
    <row r="34" customFormat="false" ht="15" hidden="false" customHeight="false" outlineLevel="0" collapsed="false">
      <c r="A34" s="16" t="s">
        <v>106</v>
      </c>
      <c r="B34" s="16" t="s">
        <v>292</v>
      </c>
      <c r="C34" s="16" t="s">
        <v>375</v>
      </c>
      <c r="D34" s="17" t="n">
        <v>1</v>
      </c>
      <c r="E34" s="18"/>
      <c r="F34" s="17"/>
      <c r="G34" s="18"/>
      <c r="H34" s="17"/>
      <c r="I34" s="18"/>
      <c r="J34" s="17" t="s">
        <v>263</v>
      </c>
      <c r="K34" s="16" t="s">
        <v>376</v>
      </c>
      <c r="L34" s="17" t="s">
        <v>265</v>
      </c>
      <c r="M34" s="16" t="s">
        <v>266</v>
      </c>
      <c r="N34" s="19" t="s">
        <v>377</v>
      </c>
      <c r="O34" s="16" t="s">
        <v>378</v>
      </c>
      <c r="P34" s="8" t="n">
        <f aca="false">IFERROR(VLOOKUP($A34,BOM!$A$2:$E$54,5,0),0)</f>
        <v>2</v>
      </c>
      <c r="Q34" s="8" t="n">
        <f aca="false">CEILING($P34*Assumptions!$B$4/$D34,1)</f>
        <v>2</v>
      </c>
      <c r="R34" s="8" t="n">
        <f aca="false">CEILING($P34*Assumptions!$B$5/$D34,1)</f>
        <v>20</v>
      </c>
      <c r="S34" s="8" t="n">
        <f aca="false">CEILING($P34*Assumptions!$B$6/$D34,1)</f>
        <v>200</v>
      </c>
      <c r="T34" s="7" t="str">
        <f aca="false">IF(ISNUMBER($E34),IF(AND(ISNUMBER($I34),ISNUMBER($H34)),IF($H34&lt;=$Q34,$I34,IF(AND(ISNUMBER($G34),ISNUMBER($F34)),IF($F34&lt;=$Q34,$G34,$E34),$E34)),IF(AND(ISNUMBER($G34),ISNUMBER($F34)),IF($F34&lt;=$Q34,$G34,$E34),$E34))*(1+IF($J34="Y",0,Assumptions!$B$3)),"")</f>
        <v/>
      </c>
      <c r="U34" s="7" t="str">
        <f aca="false">IF(ISNUMBER($E34),IF(AND(ISNUMBER($I34),ISNUMBER($H34)),IF($H34&lt;=$R34,$I34,IF(AND(ISNUMBER($G34),ISNUMBER($F34)),IF($F34&lt;=$R34,$G34,$E34),$E34)),IF(AND(ISNUMBER($G34),ISNUMBER($F34)),IF($F34&lt;=$R34,$G34,$E34),$E34))*(1+IF($J34="Y",0,Assumptions!$B$3)),"")</f>
        <v/>
      </c>
      <c r="V34" s="7" t="str">
        <f aca="false">IF(ISNUMBER($E34),IF(AND(ISNUMBER($I34),ISNUMBER($H34)),IF($H34&lt;=$S34,$I34,IF(AND(ISNUMBER($G34),ISNUMBER($F34)),IF($F34&lt;=$S34,$G34,$E34),$E34)),IF(AND(ISNUMBER($G34),ISNUMBER($F34)),IF($F34&lt;=$S34,$G34,$E34),$E34))*(1+IF($J34="Y",0,Assumptions!$B$3)),"")</f>
        <v/>
      </c>
      <c r="W34" s="7" t="str">
        <f aca="false">IF(ISNUMBER($T34),$Q34*$T34/Assumptions!$B$4,"")</f>
        <v/>
      </c>
      <c r="X34" s="7" t="str">
        <f aca="false">IF(ISNUMBER($U34),$R34*$U34/Assumptions!$B$5,"")</f>
        <v/>
      </c>
      <c r="Y34" s="7" t="str">
        <f aca="false">IF(ISNUMBER($V34),$S34*$V34/Assumptions!$B$6,"")</f>
        <v/>
      </c>
      <c r="Z34" s="8" t="str">
        <f aca="false">$A34&amp;"|"&amp;IF(ISNUMBER($W34),TEXT($W34,"0.0000"),"x")&amp;"|"&amp;$L34</f>
        <v>H283|x|Y</v>
      </c>
      <c r="AA34" s="8" t="str">
        <f aca="false">$A34&amp;"|"&amp;IF(ISNUMBER($Y34),TEXT($Y34,"0.0000"),"x")&amp;"|"&amp;$L34</f>
        <v>H283|x|Y</v>
      </c>
    </row>
    <row r="35" customFormat="false" ht="15" hidden="false" customHeight="false" outlineLevel="0" collapsed="false">
      <c r="A35" s="8" t="s">
        <v>109</v>
      </c>
      <c r="B35" s="8" t="s">
        <v>261</v>
      </c>
      <c r="C35" s="8" t="s">
        <v>379</v>
      </c>
      <c r="D35" s="12" t="n">
        <v>1</v>
      </c>
      <c r="E35" s="14" t="n">
        <v>1.87</v>
      </c>
      <c r="F35" s="12" t="n">
        <v>10</v>
      </c>
      <c r="G35" s="14" t="n">
        <v>1.26</v>
      </c>
      <c r="H35" s="12" t="n">
        <v>100</v>
      </c>
      <c r="I35" s="14" t="n">
        <v>1.09</v>
      </c>
      <c r="J35" s="12" t="s">
        <v>263</v>
      </c>
      <c r="K35" s="8" t="s">
        <v>380</v>
      </c>
      <c r="L35" s="12" t="s">
        <v>265</v>
      </c>
      <c r="M35" s="8" t="s">
        <v>266</v>
      </c>
      <c r="N35" s="15" t="s">
        <v>381</v>
      </c>
      <c r="O35" s="8" t="s">
        <v>382</v>
      </c>
      <c r="P35" s="8" t="n">
        <f aca="false">IFERROR(VLOOKUP($A35,BOM!$A$2:$E$54,5,0),0)</f>
        <v>1</v>
      </c>
      <c r="Q35" s="8" t="n">
        <f aca="false">CEILING($P35*Assumptions!$B$4/$D35,1)</f>
        <v>1</v>
      </c>
      <c r="R35" s="8" t="n">
        <f aca="false">CEILING($P35*Assumptions!$B$5/$D35,1)</f>
        <v>10</v>
      </c>
      <c r="S35" s="8" t="n">
        <f aca="false">CEILING($P35*Assumptions!$B$6/$D35,1)</f>
        <v>100</v>
      </c>
      <c r="T35" s="7" t="n">
        <f aca="false">IF(ISNUMBER($E35),IF(AND(ISNUMBER($I35),ISNUMBER($H35)),IF($H35&lt;=$Q35,$I35,IF(AND(ISNUMBER($G35),ISNUMBER($F35)),IF($F35&lt;=$Q35,$G35,$E35),$E35)),IF(AND(ISNUMBER($G35),ISNUMBER($F35)),IF($F35&lt;=$Q35,$G35,$E35),$E35))*(1+IF($J35="Y",0,Assumptions!$B$3)),"")</f>
        <v>2.057</v>
      </c>
      <c r="U35" s="7" t="n">
        <f aca="false">IF(ISNUMBER($E35),IF(AND(ISNUMBER($I35),ISNUMBER($H35)),IF($H35&lt;=$R35,$I35,IF(AND(ISNUMBER($G35),ISNUMBER($F35)),IF($F35&lt;=$R35,$G35,$E35),$E35)),IF(AND(ISNUMBER($G35),ISNUMBER($F35)),IF($F35&lt;=$R35,$G35,$E35),$E35))*(1+IF($J35="Y",0,Assumptions!$B$3)),"")</f>
        <v>1.386</v>
      </c>
      <c r="V35" s="7" t="n">
        <f aca="false">IF(ISNUMBER($E35),IF(AND(ISNUMBER($I35),ISNUMBER($H35)),IF($H35&lt;=$S35,$I35,IF(AND(ISNUMBER($G35),ISNUMBER($F35)),IF($F35&lt;=$S35,$G35,$E35),$E35)),IF(AND(ISNUMBER($G35),ISNUMBER($F35)),IF($F35&lt;=$S35,$G35,$E35),$E35))*(1+IF($J35="Y",0,Assumptions!$B$3)),"")</f>
        <v>1.199</v>
      </c>
      <c r="W35" s="7" t="n">
        <f aca="false">IF(ISNUMBER($T35),$Q35*$T35/Assumptions!$B$4,"")</f>
        <v>2.057</v>
      </c>
      <c r="X35" s="7" t="n">
        <f aca="false">IF(ISNUMBER($U35),$R35*$U35/Assumptions!$B$5,"")</f>
        <v>1.386</v>
      </c>
      <c r="Y35" s="7" t="n">
        <f aca="false">IF(ISNUMBER($V35),$S35*$V35/Assumptions!$B$6,"")</f>
        <v>1.199</v>
      </c>
      <c r="Z35" s="8" t="str">
        <f aca="false">$A35&amp;"|"&amp;IF(ISNUMBER($W35),TEXT($W35,"0.0000"),"x")&amp;"|"&amp;$L35</f>
        <v>H377|2.0570|Y</v>
      </c>
      <c r="AA35" s="8" t="str">
        <f aca="false">$A35&amp;"|"&amp;IF(ISNUMBER($Y35),TEXT($Y35,"0.0000"),"x")&amp;"|"&amp;$L35</f>
        <v>H377|1.1990|Y</v>
      </c>
    </row>
    <row r="36" customFormat="false" ht="15" hidden="false" customHeight="false" outlineLevel="0" collapsed="false">
      <c r="A36" s="16" t="s">
        <v>109</v>
      </c>
      <c r="B36" s="16" t="s">
        <v>292</v>
      </c>
      <c r="C36" s="16" t="s">
        <v>383</v>
      </c>
      <c r="D36" s="17" t="n">
        <v>1</v>
      </c>
      <c r="E36" s="18"/>
      <c r="F36" s="17"/>
      <c r="G36" s="18"/>
      <c r="H36" s="17"/>
      <c r="I36" s="18"/>
      <c r="J36" s="17" t="s">
        <v>263</v>
      </c>
      <c r="K36" s="16"/>
      <c r="L36" s="17" t="s">
        <v>265</v>
      </c>
      <c r="M36" s="16" t="s">
        <v>266</v>
      </c>
      <c r="N36" s="19" t="s">
        <v>384</v>
      </c>
      <c r="O36" s="16" t="s">
        <v>385</v>
      </c>
      <c r="P36" s="8" t="n">
        <f aca="false">IFERROR(VLOOKUP($A36,BOM!$A$2:$E$54,5,0),0)</f>
        <v>1</v>
      </c>
      <c r="Q36" s="8" t="n">
        <f aca="false">CEILING($P36*Assumptions!$B$4/$D36,1)</f>
        <v>1</v>
      </c>
      <c r="R36" s="8" t="n">
        <f aca="false">CEILING($P36*Assumptions!$B$5/$D36,1)</f>
        <v>10</v>
      </c>
      <c r="S36" s="8" t="n">
        <f aca="false">CEILING($P36*Assumptions!$B$6/$D36,1)</f>
        <v>100</v>
      </c>
      <c r="T36" s="7" t="str">
        <f aca="false">IF(ISNUMBER($E36),IF(AND(ISNUMBER($I36),ISNUMBER($H36)),IF($H36&lt;=$Q36,$I36,IF(AND(ISNUMBER($G36),ISNUMBER($F36)),IF($F36&lt;=$Q36,$G36,$E36),$E36)),IF(AND(ISNUMBER($G36),ISNUMBER($F36)),IF($F36&lt;=$Q36,$G36,$E36),$E36))*(1+IF($J36="Y",0,Assumptions!$B$3)),"")</f>
        <v/>
      </c>
      <c r="U36" s="7" t="str">
        <f aca="false">IF(ISNUMBER($E36),IF(AND(ISNUMBER($I36),ISNUMBER($H36)),IF($H36&lt;=$R36,$I36,IF(AND(ISNUMBER($G36),ISNUMBER($F36)),IF($F36&lt;=$R36,$G36,$E36),$E36)),IF(AND(ISNUMBER($G36),ISNUMBER($F36)),IF($F36&lt;=$R36,$G36,$E36),$E36))*(1+IF($J36="Y",0,Assumptions!$B$3)),"")</f>
        <v/>
      </c>
      <c r="V36" s="7" t="str">
        <f aca="false">IF(ISNUMBER($E36),IF(AND(ISNUMBER($I36),ISNUMBER($H36)),IF($H36&lt;=$S36,$I36,IF(AND(ISNUMBER($G36),ISNUMBER($F36)),IF($F36&lt;=$S36,$G36,$E36),$E36)),IF(AND(ISNUMBER($G36),ISNUMBER($F36)),IF($F36&lt;=$S36,$G36,$E36),$E36))*(1+IF($J36="Y",0,Assumptions!$B$3)),"")</f>
        <v/>
      </c>
      <c r="W36" s="7" t="str">
        <f aca="false">IF(ISNUMBER($T36),$Q36*$T36/Assumptions!$B$4,"")</f>
        <v/>
      </c>
      <c r="X36" s="7" t="str">
        <f aca="false">IF(ISNUMBER($U36),$R36*$U36/Assumptions!$B$5,"")</f>
        <v/>
      </c>
      <c r="Y36" s="7" t="str">
        <f aca="false">IF(ISNUMBER($V36),$S36*$V36/Assumptions!$B$6,"")</f>
        <v/>
      </c>
      <c r="Z36" s="8" t="str">
        <f aca="false">$A36&amp;"|"&amp;IF(ISNUMBER($W36),TEXT($W36,"0.0000"),"x")&amp;"|"&amp;$L36</f>
        <v>H377|x|Y</v>
      </c>
      <c r="AA36" s="8" t="str">
        <f aca="false">$A36&amp;"|"&amp;IF(ISNUMBER($Y36),TEXT($Y36,"0.0000"),"x")&amp;"|"&amp;$L36</f>
        <v>H377|x|Y</v>
      </c>
    </row>
    <row r="37" customFormat="false" ht="15" hidden="false" customHeight="false" outlineLevel="0" collapsed="false">
      <c r="A37" s="8" t="s">
        <v>112</v>
      </c>
      <c r="B37" s="8" t="s">
        <v>284</v>
      </c>
      <c r="C37" s="8" t="s">
        <v>386</v>
      </c>
      <c r="D37" s="12" t="n">
        <v>1</v>
      </c>
      <c r="E37" s="14" t="n">
        <v>0.75</v>
      </c>
      <c r="F37" s="12"/>
      <c r="G37" s="14"/>
      <c r="H37" s="12"/>
      <c r="I37" s="14"/>
      <c r="J37" s="12" t="s">
        <v>265</v>
      </c>
      <c r="K37" s="8" t="s">
        <v>387</v>
      </c>
      <c r="L37" s="12" t="s">
        <v>265</v>
      </c>
      <c r="M37" s="8" t="s">
        <v>35</v>
      </c>
      <c r="N37" s="15" t="s">
        <v>388</v>
      </c>
      <c r="O37" s="8" t="s">
        <v>389</v>
      </c>
      <c r="P37" s="8" t="n">
        <f aca="false">IFERROR(VLOOKUP($A37,BOM!$A$2:$E$54,5,0),0)</f>
        <v>4</v>
      </c>
      <c r="Q37" s="8" t="n">
        <f aca="false">CEILING($P37*Assumptions!$B$4/$D37,1)</f>
        <v>4</v>
      </c>
      <c r="R37" s="8" t="n">
        <f aca="false">CEILING($P37*Assumptions!$B$5/$D37,1)</f>
        <v>40</v>
      </c>
      <c r="S37" s="8" t="n">
        <f aca="false">CEILING($P37*Assumptions!$B$6/$D37,1)</f>
        <v>400</v>
      </c>
      <c r="T37" s="7" t="n">
        <f aca="false">IF(ISNUMBER($E37),IF(AND(ISNUMBER($I37),ISNUMBER($H37)),IF($H37&lt;=$Q37,$I37,IF(AND(ISNUMBER($G37),ISNUMBER($F37)),IF($F37&lt;=$Q37,$G37,$E37),$E37)),IF(AND(ISNUMBER($G37),ISNUMBER($F37)),IF($F37&lt;=$Q37,$G37,$E37),$E37))*(1+IF($J37="Y",0,Assumptions!$B$3)),"")</f>
        <v>0.75</v>
      </c>
      <c r="U37" s="7" t="n">
        <f aca="false">IF(ISNUMBER($E37),IF(AND(ISNUMBER($I37),ISNUMBER($H37)),IF($H37&lt;=$R37,$I37,IF(AND(ISNUMBER($G37),ISNUMBER($F37)),IF($F37&lt;=$R37,$G37,$E37),$E37)),IF(AND(ISNUMBER($G37),ISNUMBER($F37)),IF($F37&lt;=$R37,$G37,$E37),$E37))*(1+IF($J37="Y",0,Assumptions!$B$3)),"")</f>
        <v>0.75</v>
      </c>
      <c r="V37" s="7" t="n">
        <f aca="false">IF(ISNUMBER($E37),IF(AND(ISNUMBER($I37),ISNUMBER($H37)),IF($H37&lt;=$S37,$I37,IF(AND(ISNUMBER($G37),ISNUMBER($F37)),IF($F37&lt;=$S37,$G37,$E37),$E37)),IF(AND(ISNUMBER($G37),ISNUMBER($F37)),IF($F37&lt;=$S37,$G37,$E37),$E37))*(1+IF($J37="Y",0,Assumptions!$B$3)),"")</f>
        <v>0.75</v>
      </c>
      <c r="W37" s="7" t="n">
        <f aca="false">IF(ISNUMBER($T37),$Q37*$T37/Assumptions!$B$4,"")</f>
        <v>3</v>
      </c>
      <c r="X37" s="7" t="n">
        <f aca="false">IF(ISNUMBER($U37),$R37*$U37/Assumptions!$B$5,"")</f>
        <v>3</v>
      </c>
      <c r="Y37" s="7" t="n">
        <f aca="false">IF(ISNUMBER($V37),$S37*$V37/Assumptions!$B$6,"")</f>
        <v>3</v>
      </c>
      <c r="Z37" s="8" t="str">
        <f aca="false">$A37&amp;"|"&amp;IF(ISNUMBER($W37),TEXT($W37,"0.0000"),"x")&amp;"|"&amp;$L37</f>
        <v>IC16|3.0000|Y</v>
      </c>
      <c r="AA37" s="8" t="str">
        <f aca="false">$A37&amp;"|"&amp;IF(ISNUMBER($Y37),TEXT($Y37,"0.0000"),"x")&amp;"|"&amp;$L37</f>
        <v>IC16|3.0000|Y</v>
      </c>
    </row>
    <row r="38" customFormat="false" ht="15" hidden="false" customHeight="false" outlineLevel="0" collapsed="false">
      <c r="A38" s="8" t="s">
        <v>112</v>
      </c>
      <c r="B38" s="8" t="s">
        <v>261</v>
      </c>
      <c r="C38" s="8" t="s">
        <v>390</v>
      </c>
      <c r="D38" s="12" t="n">
        <v>1</v>
      </c>
      <c r="E38" s="14" t="n">
        <v>0.856</v>
      </c>
      <c r="F38" s="12" t="n">
        <v>10</v>
      </c>
      <c r="G38" s="14" t="n">
        <v>0.596</v>
      </c>
      <c r="H38" s="12" t="n">
        <v>100</v>
      </c>
      <c r="I38" s="14" t="n">
        <v>0.461</v>
      </c>
      <c r="J38" s="12" t="s">
        <v>263</v>
      </c>
      <c r="K38" s="8" t="s">
        <v>391</v>
      </c>
      <c r="L38" s="12" t="s">
        <v>265</v>
      </c>
      <c r="M38" s="8" t="s">
        <v>35</v>
      </c>
      <c r="N38" s="15" t="s">
        <v>392</v>
      </c>
      <c r="O38" s="8" t="s">
        <v>393</v>
      </c>
      <c r="P38" s="8" t="n">
        <f aca="false">IFERROR(VLOOKUP($A38,BOM!$A$2:$E$54,5,0),0)</f>
        <v>4</v>
      </c>
      <c r="Q38" s="8" t="n">
        <f aca="false">CEILING($P38*Assumptions!$B$4/$D38,1)</f>
        <v>4</v>
      </c>
      <c r="R38" s="8" t="n">
        <f aca="false">CEILING($P38*Assumptions!$B$5/$D38,1)</f>
        <v>40</v>
      </c>
      <c r="S38" s="8" t="n">
        <f aca="false">CEILING($P38*Assumptions!$B$6/$D38,1)</f>
        <v>400</v>
      </c>
      <c r="T38" s="7" t="n">
        <f aca="false">IF(ISNUMBER($E38),IF(AND(ISNUMBER($I38),ISNUMBER($H38)),IF($H38&lt;=$Q38,$I38,IF(AND(ISNUMBER($G38),ISNUMBER($F38)),IF($F38&lt;=$Q38,$G38,$E38),$E38)),IF(AND(ISNUMBER($G38),ISNUMBER($F38)),IF($F38&lt;=$Q38,$G38,$E38),$E38))*(1+IF($J38="Y",0,Assumptions!$B$3)),"")</f>
        <v>0.9416</v>
      </c>
      <c r="U38" s="7" t="n">
        <f aca="false">IF(ISNUMBER($E38),IF(AND(ISNUMBER($I38),ISNUMBER($H38)),IF($H38&lt;=$R38,$I38,IF(AND(ISNUMBER($G38),ISNUMBER($F38)),IF($F38&lt;=$R38,$G38,$E38),$E38)),IF(AND(ISNUMBER($G38),ISNUMBER($F38)),IF($F38&lt;=$R38,$G38,$E38),$E38))*(1+IF($J38="Y",0,Assumptions!$B$3)),"")</f>
        <v>0.6556</v>
      </c>
      <c r="V38" s="7" t="n">
        <f aca="false">IF(ISNUMBER($E38),IF(AND(ISNUMBER($I38),ISNUMBER($H38)),IF($H38&lt;=$S38,$I38,IF(AND(ISNUMBER($G38),ISNUMBER($F38)),IF($F38&lt;=$S38,$G38,$E38),$E38)),IF(AND(ISNUMBER($G38),ISNUMBER($F38)),IF($F38&lt;=$S38,$G38,$E38),$E38))*(1+IF($J38="Y",0,Assumptions!$B$3)),"")</f>
        <v>0.5071</v>
      </c>
      <c r="W38" s="7" t="n">
        <f aca="false">IF(ISNUMBER($T38),$Q38*$T38/Assumptions!$B$4,"")</f>
        <v>3.7664</v>
      </c>
      <c r="X38" s="7" t="n">
        <f aca="false">IF(ISNUMBER($U38),$R38*$U38/Assumptions!$B$5,"")</f>
        <v>2.6224</v>
      </c>
      <c r="Y38" s="7" t="n">
        <f aca="false">IF(ISNUMBER($V38),$S38*$V38/Assumptions!$B$6,"")</f>
        <v>2.0284</v>
      </c>
      <c r="Z38" s="8" t="str">
        <f aca="false">$A38&amp;"|"&amp;IF(ISNUMBER($W38),TEXT($W38,"0.0000"),"x")&amp;"|"&amp;$L38</f>
        <v>IC16|3.7664|Y</v>
      </c>
      <c r="AA38" s="8" t="str">
        <f aca="false">$A38&amp;"|"&amp;IF(ISNUMBER($Y38),TEXT($Y38,"0.0000"),"x")&amp;"|"&amp;$L38</f>
        <v>IC16|2.0284|Y</v>
      </c>
    </row>
    <row r="39" customFormat="false" ht="15" hidden="false" customHeight="false" outlineLevel="0" collapsed="false">
      <c r="A39" s="8" t="s">
        <v>116</v>
      </c>
      <c r="B39" s="8" t="s">
        <v>261</v>
      </c>
      <c r="C39" s="8" t="s">
        <v>394</v>
      </c>
      <c r="D39" s="12" t="n">
        <v>1</v>
      </c>
      <c r="E39" s="14" t="n">
        <v>16.37</v>
      </c>
      <c r="F39" s="12" t="n">
        <v>10</v>
      </c>
      <c r="G39" s="14" t="n">
        <v>15.21</v>
      </c>
      <c r="H39" s="12" t="n">
        <v>105</v>
      </c>
      <c r="I39" s="14" t="n">
        <v>13.72</v>
      </c>
      <c r="J39" s="12" t="s">
        <v>263</v>
      </c>
      <c r="K39" s="8" t="s">
        <v>395</v>
      </c>
      <c r="L39" s="12" t="s">
        <v>265</v>
      </c>
      <c r="M39" s="8" t="s">
        <v>35</v>
      </c>
      <c r="N39" s="15" t="s">
        <v>396</v>
      </c>
      <c r="O39" s="8" t="s">
        <v>397</v>
      </c>
      <c r="P39" s="8" t="n">
        <f aca="false">IFERROR(VLOOKUP($A39,BOM!$A$2:$E$54,5,0),0)</f>
        <v>1</v>
      </c>
      <c r="Q39" s="8" t="n">
        <f aca="false">CEILING($P39*Assumptions!$B$4/$D39,1)</f>
        <v>1</v>
      </c>
      <c r="R39" s="8" t="n">
        <f aca="false">CEILING($P39*Assumptions!$B$5/$D39,1)</f>
        <v>10</v>
      </c>
      <c r="S39" s="8" t="n">
        <f aca="false">CEILING($P39*Assumptions!$B$6/$D39,1)</f>
        <v>100</v>
      </c>
      <c r="T39" s="7" t="n">
        <f aca="false">IF(ISNUMBER($E39),IF(AND(ISNUMBER($I39),ISNUMBER($H39)),IF($H39&lt;=$Q39,$I39,IF(AND(ISNUMBER($G39),ISNUMBER($F39)),IF($F39&lt;=$Q39,$G39,$E39),$E39)),IF(AND(ISNUMBER($G39),ISNUMBER($F39)),IF($F39&lt;=$Q39,$G39,$E39),$E39))*(1+IF($J39="Y",0,Assumptions!$B$3)),"")</f>
        <v>18.007</v>
      </c>
      <c r="U39" s="7" t="n">
        <f aca="false">IF(ISNUMBER($E39),IF(AND(ISNUMBER($I39),ISNUMBER($H39)),IF($H39&lt;=$R39,$I39,IF(AND(ISNUMBER($G39),ISNUMBER($F39)),IF($F39&lt;=$R39,$G39,$E39),$E39)),IF(AND(ISNUMBER($G39),ISNUMBER($F39)),IF($F39&lt;=$R39,$G39,$E39),$E39))*(1+IF($J39="Y",0,Assumptions!$B$3)),"")</f>
        <v>16.731</v>
      </c>
      <c r="V39" s="7" t="n">
        <f aca="false">IF(ISNUMBER($E39),IF(AND(ISNUMBER($I39),ISNUMBER($H39)),IF($H39&lt;=$S39,$I39,IF(AND(ISNUMBER($G39),ISNUMBER($F39)),IF($F39&lt;=$S39,$G39,$E39),$E39)),IF(AND(ISNUMBER($G39),ISNUMBER($F39)),IF($F39&lt;=$S39,$G39,$E39),$E39))*(1+IF($J39="Y",0,Assumptions!$B$3)),"")</f>
        <v>16.731</v>
      </c>
      <c r="W39" s="7" t="n">
        <f aca="false">IF(ISNUMBER($T39),$Q39*$T39/Assumptions!$B$4,"")</f>
        <v>18.007</v>
      </c>
      <c r="X39" s="7" t="n">
        <f aca="false">IF(ISNUMBER($U39),$R39*$U39/Assumptions!$B$5,"")</f>
        <v>16.731</v>
      </c>
      <c r="Y39" s="7" t="n">
        <f aca="false">IF(ISNUMBER($V39),$S39*$V39/Assumptions!$B$6,"")</f>
        <v>16.731</v>
      </c>
      <c r="Z39" s="8" t="str">
        <f aca="false">$A39&amp;"|"&amp;IF(ISNUMBER($W39),TEXT($W39,"0.0000"),"x")&amp;"|"&amp;$L39</f>
        <v>IC17|18.0070|Y</v>
      </c>
      <c r="AA39" s="8" t="str">
        <f aca="false">$A39&amp;"|"&amp;IF(ISNUMBER($Y39),TEXT($Y39,"0.0000"),"x")&amp;"|"&amp;$L39</f>
        <v>IC17|16.7310|Y</v>
      </c>
    </row>
    <row r="40" customFormat="false" ht="15" hidden="false" customHeight="false" outlineLevel="0" collapsed="false">
      <c r="A40" s="8" t="s">
        <v>116</v>
      </c>
      <c r="B40" s="8" t="s">
        <v>292</v>
      </c>
      <c r="C40" s="8" t="s">
        <v>394</v>
      </c>
      <c r="D40" s="12" t="n">
        <v>1</v>
      </c>
      <c r="E40" s="14" t="n">
        <v>18.51</v>
      </c>
      <c r="F40" s="12"/>
      <c r="G40" s="14"/>
      <c r="H40" s="12"/>
      <c r="I40" s="14"/>
      <c r="J40" s="12" t="s">
        <v>263</v>
      </c>
      <c r="K40" s="8" t="s">
        <v>398</v>
      </c>
      <c r="L40" s="12" t="s">
        <v>265</v>
      </c>
      <c r="M40" s="8" t="s">
        <v>35</v>
      </c>
      <c r="N40" s="15" t="s">
        <v>399</v>
      </c>
      <c r="O40" s="8" t="s">
        <v>400</v>
      </c>
      <c r="P40" s="8" t="n">
        <f aca="false">IFERROR(VLOOKUP($A40,BOM!$A$2:$E$54,5,0),0)</f>
        <v>1</v>
      </c>
      <c r="Q40" s="8" t="n">
        <f aca="false">CEILING($P40*Assumptions!$B$4/$D40,1)</f>
        <v>1</v>
      </c>
      <c r="R40" s="8" t="n">
        <f aca="false">CEILING($P40*Assumptions!$B$5/$D40,1)</f>
        <v>10</v>
      </c>
      <c r="S40" s="8" t="n">
        <f aca="false">CEILING($P40*Assumptions!$B$6/$D40,1)</f>
        <v>100</v>
      </c>
      <c r="T40" s="7" t="n">
        <f aca="false">IF(ISNUMBER($E40),IF(AND(ISNUMBER($I40),ISNUMBER($H40)),IF($H40&lt;=$Q40,$I40,IF(AND(ISNUMBER($G40),ISNUMBER($F40)),IF($F40&lt;=$Q40,$G40,$E40),$E40)),IF(AND(ISNUMBER($G40),ISNUMBER($F40)),IF($F40&lt;=$Q40,$G40,$E40),$E40))*(1+IF($J40="Y",0,Assumptions!$B$3)),"")</f>
        <v>20.361</v>
      </c>
      <c r="U40" s="7" t="n">
        <f aca="false">IF(ISNUMBER($E40),IF(AND(ISNUMBER($I40),ISNUMBER($H40)),IF($H40&lt;=$R40,$I40,IF(AND(ISNUMBER($G40),ISNUMBER($F40)),IF($F40&lt;=$R40,$G40,$E40),$E40)),IF(AND(ISNUMBER($G40),ISNUMBER($F40)),IF($F40&lt;=$R40,$G40,$E40),$E40))*(1+IF($J40="Y",0,Assumptions!$B$3)),"")</f>
        <v>20.361</v>
      </c>
      <c r="V40" s="7" t="n">
        <f aca="false">IF(ISNUMBER($E40),IF(AND(ISNUMBER($I40),ISNUMBER($H40)),IF($H40&lt;=$S40,$I40,IF(AND(ISNUMBER($G40),ISNUMBER($F40)),IF($F40&lt;=$S40,$G40,$E40),$E40)),IF(AND(ISNUMBER($G40),ISNUMBER($F40)),IF($F40&lt;=$S40,$G40,$E40),$E40))*(1+IF($J40="Y",0,Assumptions!$B$3)),"")</f>
        <v>20.361</v>
      </c>
      <c r="W40" s="7" t="n">
        <f aca="false">IF(ISNUMBER($T40),$Q40*$T40/Assumptions!$B$4,"")</f>
        <v>20.361</v>
      </c>
      <c r="X40" s="7" t="n">
        <f aca="false">IF(ISNUMBER($U40),$R40*$U40/Assumptions!$B$5,"")</f>
        <v>20.361</v>
      </c>
      <c r="Y40" s="7" t="n">
        <f aca="false">IF(ISNUMBER($V40),$S40*$V40/Assumptions!$B$6,"")</f>
        <v>20.361</v>
      </c>
      <c r="Z40" s="8" t="str">
        <f aca="false">$A40&amp;"|"&amp;IF(ISNUMBER($W40),TEXT($W40,"0.0000"),"x")&amp;"|"&amp;$L40</f>
        <v>IC17|20.3610|Y</v>
      </c>
      <c r="AA40" s="8" t="str">
        <f aca="false">$A40&amp;"|"&amp;IF(ISNUMBER($Y40),TEXT($Y40,"0.0000"),"x")&amp;"|"&amp;$L40</f>
        <v>IC17|20.3610|Y</v>
      </c>
    </row>
    <row r="41" customFormat="false" ht="15" hidden="false" customHeight="false" outlineLevel="0" collapsed="false">
      <c r="A41" s="8" t="s">
        <v>120</v>
      </c>
      <c r="B41" s="8" t="s">
        <v>261</v>
      </c>
      <c r="C41" s="8" t="s">
        <v>401</v>
      </c>
      <c r="D41" s="12" t="n">
        <v>1</v>
      </c>
      <c r="E41" s="14" t="n">
        <v>17.95</v>
      </c>
      <c r="F41" s="12" t="n">
        <v>28</v>
      </c>
      <c r="G41" s="14" t="n">
        <v>17.28</v>
      </c>
      <c r="H41" s="12" t="n">
        <v>112</v>
      </c>
      <c r="I41" s="14" t="n">
        <v>16.6</v>
      </c>
      <c r="J41" s="12" t="s">
        <v>263</v>
      </c>
      <c r="K41" s="8" t="s">
        <v>402</v>
      </c>
      <c r="L41" s="12" t="s">
        <v>265</v>
      </c>
      <c r="M41" s="8" t="s">
        <v>35</v>
      </c>
      <c r="N41" s="15" t="s">
        <v>403</v>
      </c>
      <c r="O41" s="8" t="s">
        <v>404</v>
      </c>
      <c r="P41" s="8" t="n">
        <f aca="false">IFERROR(VLOOKUP($A41,BOM!$A$2:$E$54,5,0),0)</f>
        <v>4</v>
      </c>
      <c r="Q41" s="8" t="n">
        <f aca="false">CEILING($P41*Assumptions!$B$4/$D41,1)</f>
        <v>4</v>
      </c>
      <c r="R41" s="8" t="n">
        <f aca="false">CEILING($P41*Assumptions!$B$5/$D41,1)</f>
        <v>40</v>
      </c>
      <c r="S41" s="8" t="n">
        <f aca="false">CEILING($P41*Assumptions!$B$6/$D41,1)</f>
        <v>400</v>
      </c>
      <c r="T41" s="7" t="n">
        <f aca="false">IF(ISNUMBER($E41),IF(AND(ISNUMBER($I41),ISNUMBER($H41)),IF($H41&lt;=$Q41,$I41,IF(AND(ISNUMBER($G41),ISNUMBER($F41)),IF($F41&lt;=$Q41,$G41,$E41),$E41)),IF(AND(ISNUMBER($G41),ISNUMBER($F41)),IF($F41&lt;=$Q41,$G41,$E41),$E41))*(1+IF($J41="Y",0,Assumptions!$B$3)),"")</f>
        <v>19.745</v>
      </c>
      <c r="U41" s="7" t="n">
        <f aca="false">IF(ISNUMBER($E41),IF(AND(ISNUMBER($I41),ISNUMBER($H41)),IF($H41&lt;=$R41,$I41,IF(AND(ISNUMBER($G41),ISNUMBER($F41)),IF($F41&lt;=$R41,$G41,$E41),$E41)),IF(AND(ISNUMBER($G41),ISNUMBER($F41)),IF($F41&lt;=$R41,$G41,$E41),$E41))*(1+IF($J41="Y",0,Assumptions!$B$3)),"")</f>
        <v>19.008</v>
      </c>
      <c r="V41" s="7" t="n">
        <f aca="false">IF(ISNUMBER($E41),IF(AND(ISNUMBER($I41),ISNUMBER($H41)),IF($H41&lt;=$S41,$I41,IF(AND(ISNUMBER($G41),ISNUMBER($F41)),IF($F41&lt;=$S41,$G41,$E41),$E41)),IF(AND(ISNUMBER($G41),ISNUMBER($F41)),IF($F41&lt;=$S41,$G41,$E41),$E41))*(1+IF($J41="Y",0,Assumptions!$B$3)),"")</f>
        <v>18.26</v>
      </c>
      <c r="W41" s="7" t="n">
        <f aca="false">IF(ISNUMBER($T41),$Q41*$T41/Assumptions!$B$4,"")</f>
        <v>78.98</v>
      </c>
      <c r="X41" s="7" t="n">
        <f aca="false">IF(ISNUMBER($U41),$R41*$U41/Assumptions!$B$5,"")</f>
        <v>76.032</v>
      </c>
      <c r="Y41" s="7" t="n">
        <f aca="false">IF(ISNUMBER($V41),$S41*$V41/Assumptions!$B$6,"")</f>
        <v>73.04</v>
      </c>
      <c r="Z41" s="8" t="str">
        <f aca="false">$A41&amp;"|"&amp;IF(ISNUMBER($W41),TEXT($W41,"0.0000"),"x")&amp;"|"&amp;$L41</f>
        <v>IC18|78.9800|Y</v>
      </c>
      <c r="AA41" s="8" t="str">
        <f aca="false">$A41&amp;"|"&amp;IF(ISNUMBER($Y41),TEXT($Y41,"0.0000"),"x")&amp;"|"&amp;$L41</f>
        <v>IC18|73.0400|Y</v>
      </c>
    </row>
    <row r="42" customFormat="false" ht="15" hidden="false" customHeight="false" outlineLevel="0" collapsed="false">
      <c r="A42" s="8" t="s">
        <v>120</v>
      </c>
      <c r="B42" s="8" t="s">
        <v>292</v>
      </c>
      <c r="C42" s="8" t="s">
        <v>401</v>
      </c>
      <c r="D42" s="12" t="n">
        <v>1</v>
      </c>
      <c r="E42" s="14" t="n">
        <v>18.31</v>
      </c>
      <c r="F42" s="12" t="n">
        <v>25</v>
      </c>
      <c r="G42" s="14" t="n">
        <v>17.95</v>
      </c>
      <c r="H42" s="12"/>
      <c r="I42" s="14"/>
      <c r="J42" s="12" t="s">
        <v>263</v>
      </c>
      <c r="K42" s="8" t="s">
        <v>405</v>
      </c>
      <c r="L42" s="12" t="s">
        <v>265</v>
      </c>
      <c r="M42" s="8" t="s">
        <v>35</v>
      </c>
      <c r="N42" s="15" t="s">
        <v>406</v>
      </c>
      <c r="O42" s="8" t="s">
        <v>407</v>
      </c>
      <c r="P42" s="8" t="n">
        <f aca="false">IFERROR(VLOOKUP($A42,BOM!$A$2:$E$54,5,0),0)</f>
        <v>4</v>
      </c>
      <c r="Q42" s="8" t="n">
        <f aca="false">CEILING($P42*Assumptions!$B$4/$D42,1)</f>
        <v>4</v>
      </c>
      <c r="R42" s="8" t="n">
        <f aca="false">CEILING($P42*Assumptions!$B$5/$D42,1)</f>
        <v>40</v>
      </c>
      <c r="S42" s="8" t="n">
        <f aca="false">CEILING($P42*Assumptions!$B$6/$D42,1)</f>
        <v>400</v>
      </c>
      <c r="T42" s="7" t="n">
        <f aca="false">IF(ISNUMBER($E42),IF(AND(ISNUMBER($I42),ISNUMBER($H42)),IF($H42&lt;=$Q42,$I42,IF(AND(ISNUMBER($G42),ISNUMBER($F42)),IF($F42&lt;=$Q42,$G42,$E42),$E42)),IF(AND(ISNUMBER($G42),ISNUMBER($F42)),IF($F42&lt;=$Q42,$G42,$E42),$E42))*(1+IF($J42="Y",0,Assumptions!$B$3)),"")</f>
        <v>20.141</v>
      </c>
      <c r="U42" s="7" t="n">
        <f aca="false">IF(ISNUMBER($E42),IF(AND(ISNUMBER($I42),ISNUMBER($H42)),IF($H42&lt;=$R42,$I42,IF(AND(ISNUMBER($G42),ISNUMBER($F42)),IF($F42&lt;=$R42,$G42,$E42),$E42)),IF(AND(ISNUMBER($G42),ISNUMBER($F42)),IF($F42&lt;=$R42,$G42,$E42),$E42))*(1+IF($J42="Y",0,Assumptions!$B$3)),"")</f>
        <v>19.745</v>
      </c>
      <c r="V42" s="7" t="n">
        <f aca="false">IF(ISNUMBER($E42),IF(AND(ISNUMBER($I42),ISNUMBER($H42)),IF($H42&lt;=$S42,$I42,IF(AND(ISNUMBER($G42),ISNUMBER($F42)),IF($F42&lt;=$S42,$G42,$E42),$E42)),IF(AND(ISNUMBER($G42),ISNUMBER($F42)),IF($F42&lt;=$S42,$G42,$E42),$E42))*(1+IF($J42="Y",0,Assumptions!$B$3)),"")</f>
        <v>19.745</v>
      </c>
      <c r="W42" s="7" t="n">
        <f aca="false">IF(ISNUMBER($T42),$Q42*$T42/Assumptions!$B$4,"")</f>
        <v>80.564</v>
      </c>
      <c r="X42" s="7" t="n">
        <f aca="false">IF(ISNUMBER($U42),$R42*$U42/Assumptions!$B$5,"")</f>
        <v>78.98</v>
      </c>
      <c r="Y42" s="7" t="n">
        <f aca="false">IF(ISNUMBER($V42),$S42*$V42/Assumptions!$B$6,"")</f>
        <v>78.98</v>
      </c>
      <c r="Z42" s="8" t="str">
        <f aca="false">$A42&amp;"|"&amp;IF(ISNUMBER($W42),TEXT($W42,"0.0000"),"x")&amp;"|"&amp;$L42</f>
        <v>IC18|80.5640|Y</v>
      </c>
      <c r="AA42" s="8" t="str">
        <f aca="false">$A42&amp;"|"&amp;IF(ISNUMBER($Y42),TEXT($Y42,"0.0000"),"x")&amp;"|"&amp;$L42</f>
        <v>IC18|78.9800|Y</v>
      </c>
    </row>
    <row r="43" customFormat="false" ht="15" hidden="false" customHeight="false" outlineLevel="0" collapsed="false">
      <c r="A43" s="8" t="s">
        <v>124</v>
      </c>
      <c r="B43" s="8" t="s">
        <v>261</v>
      </c>
      <c r="C43" s="8" t="s">
        <v>408</v>
      </c>
      <c r="D43" s="12" t="n">
        <v>1</v>
      </c>
      <c r="E43" s="14" t="n">
        <v>0.377</v>
      </c>
      <c r="F43" s="12" t="n">
        <v>10</v>
      </c>
      <c r="G43" s="14" t="n">
        <v>0.238</v>
      </c>
      <c r="H43" s="12" t="n">
        <v>100</v>
      </c>
      <c r="I43" s="14" t="n">
        <v>0.148</v>
      </c>
      <c r="J43" s="12" t="s">
        <v>263</v>
      </c>
      <c r="K43" s="8" t="s">
        <v>409</v>
      </c>
      <c r="L43" s="12" t="s">
        <v>265</v>
      </c>
      <c r="M43" s="8" t="s">
        <v>266</v>
      </c>
      <c r="N43" s="15" t="s">
        <v>410</v>
      </c>
      <c r="O43" s="8" t="s">
        <v>411</v>
      </c>
      <c r="P43" s="8" t="n">
        <f aca="false">IFERROR(VLOOKUP($A43,BOM!$A$2:$E$54,5,0),0)</f>
        <v>4</v>
      </c>
      <c r="Q43" s="8" t="n">
        <f aca="false">CEILING($P43*Assumptions!$B$4/$D43,1)</f>
        <v>4</v>
      </c>
      <c r="R43" s="8" t="n">
        <f aca="false">CEILING($P43*Assumptions!$B$5/$D43,1)</f>
        <v>40</v>
      </c>
      <c r="S43" s="8" t="n">
        <f aca="false">CEILING($P43*Assumptions!$B$6/$D43,1)</f>
        <v>400</v>
      </c>
      <c r="T43" s="7" t="n">
        <f aca="false">IF(ISNUMBER($E43),IF(AND(ISNUMBER($I43),ISNUMBER($H43)),IF($H43&lt;=$Q43,$I43,IF(AND(ISNUMBER($G43),ISNUMBER($F43)),IF($F43&lt;=$Q43,$G43,$E43),$E43)),IF(AND(ISNUMBER($G43),ISNUMBER($F43)),IF($F43&lt;=$Q43,$G43,$E43),$E43))*(1+IF($J43="Y",0,Assumptions!$B$3)),"")</f>
        <v>0.4147</v>
      </c>
      <c r="U43" s="7" t="n">
        <f aca="false">IF(ISNUMBER($E43),IF(AND(ISNUMBER($I43),ISNUMBER($H43)),IF($H43&lt;=$R43,$I43,IF(AND(ISNUMBER($G43),ISNUMBER($F43)),IF($F43&lt;=$R43,$G43,$E43),$E43)),IF(AND(ISNUMBER($G43),ISNUMBER($F43)),IF($F43&lt;=$R43,$G43,$E43),$E43))*(1+IF($J43="Y",0,Assumptions!$B$3)),"")</f>
        <v>0.2618</v>
      </c>
      <c r="V43" s="7" t="n">
        <f aca="false">IF(ISNUMBER($E43),IF(AND(ISNUMBER($I43),ISNUMBER($H43)),IF($H43&lt;=$S43,$I43,IF(AND(ISNUMBER($G43),ISNUMBER($F43)),IF($F43&lt;=$S43,$G43,$E43),$E43)),IF(AND(ISNUMBER($G43),ISNUMBER($F43)),IF($F43&lt;=$S43,$G43,$E43),$E43))*(1+IF($J43="Y",0,Assumptions!$B$3)),"")</f>
        <v>0.1628</v>
      </c>
      <c r="W43" s="7" t="n">
        <f aca="false">IF(ISNUMBER($T43),$Q43*$T43/Assumptions!$B$4,"")</f>
        <v>1.6588</v>
      </c>
      <c r="X43" s="7" t="n">
        <f aca="false">IF(ISNUMBER($U43),$R43*$U43/Assumptions!$B$5,"")</f>
        <v>1.0472</v>
      </c>
      <c r="Y43" s="7" t="n">
        <f aca="false">IF(ISNUMBER($V43),$S43*$V43/Assumptions!$B$6,"")</f>
        <v>0.6512</v>
      </c>
      <c r="Z43" s="8" t="str">
        <f aca="false">$A43&amp;"|"&amp;IF(ISNUMBER($W43),TEXT($W43,"0.0000"),"x")&amp;"|"&amp;$L43</f>
        <v>Q01|1.6588|Y</v>
      </c>
      <c r="AA43" s="8" t="str">
        <f aca="false">$A43&amp;"|"&amp;IF(ISNUMBER($Y43),TEXT($Y43,"0.0000"),"x")&amp;"|"&amp;$L43</f>
        <v>Q01|0.6512|Y</v>
      </c>
    </row>
    <row r="44" customFormat="false" ht="15" hidden="false" customHeight="false" outlineLevel="0" collapsed="false">
      <c r="A44" s="8" t="s">
        <v>124</v>
      </c>
      <c r="B44" s="8" t="s">
        <v>292</v>
      </c>
      <c r="C44" s="8" t="s">
        <v>412</v>
      </c>
      <c r="D44" s="12" t="n">
        <v>1</v>
      </c>
      <c r="E44" s="14" t="n">
        <v>0.386</v>
      </c>
      <c r="F44" s="12" t="n">
        <v>10</v>
      </c>
      <c r="G44" s="14" t="n">
        <v>0.243</v>
      </c>
      <c r="H44" s="12" t="n">
        <v>100</v>
      </c>
      <c r="I44" s="14" t="n">
        <v>0.151</v>
      </c>
      <c r="J44" s="12" t="s">
        <v>263</v>
      </c>
      <c r="K44" s="8" t="s">
        <v>413</v>
      </c>
      <c r="L44" s="12" t="s">
        <v>265</v>
      </c>
      <c r="M44" s="8" t="s">
        <v>266</v>
      </c>
      <c r="N44" s="15" t="s">
        <v>414</v>
      </c>
      <c r="O44" s="8" t="s">
        <v>415</v>
      </c>
      <c r="P44" s="8" t="n">
        <f aca="false">IFERROR(VLOOKUP($A44,BOM!$A$2:$E$54,5,0),0)</f>
        <v>4</v>
      </c>
      <c r="Q44" s="8" t="n">
        <f aca="false">CEILING($P44*Assumptions!$B$4/$D44,1)</f>
        <v>4</v>
      </c>
      <c r="R44" s="8" t="n">
        <f aca="false">CEILING($P44*Assumptions!$B$5/$D44,1)</f>
        <v>40</v>
      </c>
      <c r="S44" s="8" t="n">
        <f aca="false">CEILING($P44*Assumptions!$B$6/$D44,1)</f>
        <v>400</v>
      </c>
      <c r="T44" s="7" t="n">
        <f aca="false">IF(ISNUMBER($E44),IF(AND(ISNUMBER($I44),ISNUMBER($H44)),IF($H44&lt;=$Q44,$I44,IF(AND(ISNUMBER($G44),ISNUMBER($F44)),IF($F44&lt;=$Q44,$G44,$E44),$E44)),IF(AND(ISNUMBER($G44),ISNUMBER($F44)),IF($F44&lt;=$Q44,$G44,$E44),$E44))*(1+IF($J44="Y",0,Assumptions!$B$3)),"")</f>
        <v>0.4246</v>
      </c>
      <c r="U44" s="7" t="n">
        <f aca="false">IF(ISNUMBER($E44),IF(AND(ISNUMBER($I44),ISNUMBER($H44)),IF($H44&lt;=$R44,$I44,IF(AND(ISNUMBER($G44),ISNUMBER($F44)),IF($F44&lt;=$R44,$G44,$E44),$E44)),IF(AND(ISNUMBER($G44),ISNUMBER($F44)),IF($F44&lt;=$R44,$G44,$E44),$E44))*(1+IF($J44="Y",0,Assumptions!$B$3)),"")</f>
        <v>0.2673</v>
      </c>
      <c r="V44" s="7" t="n">
        <f aca="false">IF(ISNUMBER($E44),IF(AND(ISNUMBER($I44),ISNUMBER($H44)),IF($H44&lt;=$S44,$I44,IF(AND(ISNUMBER($G44),ISNUMBER($F44)),IF($F44&lt;=$S44,$G44,$E44),$E44)),IF(AND(ISNUMBER($G44),ISNUMBER($F44)),IF($F44&lt;=$S44,$G44,$E44),$E44))*(1+IF($J44="Y",0,Assumptions!$B$3)),"")</f>
        <v>0.1661</v>
      </c>
      <c r="W44" s="7" t="n">
        <f aca="false">IF(ISNUMBER($T44),$Q44*$T44/Assumptions!$B$4,"")</f>
        <v>1.6984</v>
      </c>
      <c r="X44" s="7" t="n">
        <f aca="false">IF(ISNUMBER($U44),$R44*$U44/Assumptions!$B$5,"")</f>
        <v>1.0692</v>
      </c>
      <c r="Y44" s="7" t="n">
        <f aca="false">IF(ISNUMBER($V44),$S44*$V44/Assumptions!$B$6,"")</f>
        <v>0.6644</v>
      </c>
      <c r="Z44" s="8" t="str">
        <f aca="false">$A44&amp;"|"&amp;IF(ISNUMBER($W44),TEXT($W44,"0.0000"),"x")&amp;"|"&amp;$L44</f>
        <v>Q01|1.6984|Y</v>
      </c>
      <c r="AA44" s="8" t="str">
        <f aca="false">$A44&amp;"|"&amp;IF(ISNUMBER($Y44),TEXT($Y44,"0.0000"),"x")&amp;"|"&amp;$L44</f>
        <v>Q01|0.6644|Y</v>
      </c>
    </row>
    <row r="45" customFormat="false" ht="15" hidden="false" customHeight="false" outlineLevel="0" collapsed="false">
      <c r="A45" s="8" t="s">
        <v>128</v>
      </c>
      <c r="B45" s="8" t="s">
        <v>261</v>
      </c>
      <c r="C45" s="8" t="s">
        <v>416</v>
      </c>
      <c r="D45" s="12" t="n">
        <v>1</v>
      </c>
      <c r="E45" s="14" t="n">
        <v>3.52</v>
      </c>
      <c r="F45" s="12" t="n">
        <v>10</v>
      </c>
      <c r="G45" s="14" t="n">
        <v>2.33</v>
      </c>
      <c r="H45" s="12" t="n">
        <v>120</v>
      </c>
      <c r="I45" s="14" t="n">
        <v>1.91</v>
      </c>
      <c r="J45" s="12" t="s">
        <v>263</v>
      </c>
      <c r="K45" s="8" t="s">
        <v>417</v>
      </c>
      <c r="L45" s="12" t="s">
        <v>265</v>
      </c>
      <c r="M45" s="8" t="s">
        <v>266</v>
      </c>
      <c r="N45" s="15" t="s">
        <v>418</v>
      </c>
      <c r="O45" s="8" t="s">
        <v>419</v>
      </c>
      <c r="P45" s="8" t="n">
        <f aca="false">IFERROR(VLOOKUP($A45,BOM!$A$2:$E$54,5,0),0)</f>
        <v>4</v>
      </c>
      <c r="Q45" s="8" t="n">
        <f aca="false">CEILING($P45*Assumptions!$B$4/$D45,1)</f>
        <v>4</v>
      </c>
      <c r="R45" s="8" t="n">
        <f aca="false">CEILING($P45*Assumptions!$B$5/$D45,1)</f>
        <v>40</v>
      </c>
      <c r="S45" s="8" t="n">
        <f aca="false">CEILING($P45*Assumptions!$B$6/$D45,1)</f>
        <v>400</v>
      </c>
      <c r="T45" s="7" t="n">
        <f aca="false">IF(ISNUMBER($E45),IF(AND(ISNUMBER($I45),ISNUMBER($H45)),IF($H45&lt;=$Q45,$I45,IF(AND(ISNUMBER($G45),ISNUMBER($F45)),IF($F45&lt;=$Q45,$G45,$E45),$E45)),IF(AND(ISNUMBER($G45),ISNUMBER($F45)),IF($F45&lt;=$Q45,$G45,$E45),$E45))*(1+IF($J45="Y",0,Assumptions!$B$3)),"")</f>
        <v>3.872</v>
      </c>
      <c r="U45" s="7" t="n">
        <f aca="false">IF(ISNUMBER($E45),IF(AND(ISNUMBER($I45),ISNUMBER($H45)),IF($H45&lt;=$R45,$I45,IF(AND(ISNUMBER($G45),ISNUMBER($F45)),IF($F45&lt;=$R45,$G45,$E45),$E45)),IF(AND(ISNUMBER($G45),ISNUMBER($F45)),IF($F45&lt;=$R45,$G45,$E45),$E45))*(1+IF($J45="Y",0,Assumptions!$B$3)),"")</f>
        <v>2.563</v>
      </c>
      <c r="V45" s="7" t="n">
        <f aca="false">IF(ISNUMBER($E45),IF(AND(ISNUMBER($I45),ISNUMBER($H45)),IF($H45&lt;=$S45,$I45,IF(AND(ISNUMBER($G45),ISNUMBER($F45)),IF($F45&lt;=$S45,$G45,$E45),$E45)),IF(AND(ISNUMBER($G45),ISNUMBER($F45)),IF($F45&lt;=$S45,$G45,$E45),$E45))*(1+IF($J45="Y",0,Assumptions!$B$3)),"")</f>
        <v>2.101</v>
      </c>
      <c r="W45" s="7" t="n">
        <f aca="false">IF(ISNUMBER($T45),$Q45*$T45/Assumptions!$B$4,"")</f>
        <v>15.488</v>
      </c>
      <c r="X45" s="7" t="n">
        <f aca="false">IF(ISNUMBER($U45),$R45*$U45/Assumptions!$B$5,"")</f>
        <v>10.252</v>
      </c>
      <c r="Y45" s="7" t="n">
        <f aca="false">IF(ISNUMBER($V45),$S45*$V45/Assumptions!$B$6,"")</f>
        <v>8.404</v>
      </c>
      <c r="Z45" s="8" t="str">
        <f aca="false">$A45&amp;"|"&amp;IF(ISNUMBER($W45),TEXT($W45,"0.0000"),"x")&amp;"|"&amp;$L45</f>
        <v>DS2|15.4880|Y</v>
      </c>
      <c r="AA45" s="8" t="str">
        <f aca="false">$A45&amp;"|"&amp;IF(ISNUMBER($Y45),TEXT($Y45,"0.0000"),"x")&amp;"|"&amp;$L45</f>
        <v>DS2|8.4040|Y</v>
      </c>
    </row>
    <row r="46" customFormat="false" ht="15" hidden="false" customHeight="false" outlineLevel="0" collapsed="false">
      <c r="A46" s="8" t="s">
        <v>128</v>
      </c>
      <c r="B46" s="8" t="s">
        <v>292</v>
      </c>
      <c r="C46" s="8" t="s">
        <v>420</v>
      </c>
      <c r="D46" s="12" t="n">
        <v>1</v>
      </c>
      <c r="E46" s="14" t="n">
        <v>3.31</v>
      </c>
      <c r="F46" s="12" t="n">
        <v>10</v>
      </c>
      <c r="G46" s="14" t="n">
        <v>2.35</v>
      </c>
      <c r="H46" s="12" t="n">
        <v>100</v>
      </c>
      <c r="I46" s="14" t="n">
        <v>1.81</v>
      </c>
      <c r="J46" s="12" t="s">
        <v>263</v>
      </c>
      <c r="K46" s="8" t="s">
        <v>421</v>
      </c>
      <c r="L46" s="12" t="s">
        <v>265</v>
      </c>
      <c r="M46" s="8" t="s">
        <v>266</v>
      </c>
      <c r="N46" s="15" t="s">
        <v>422</v>
      </c>
      <c r="O46" s="8" t="s">
        <v>423</v>
      </c>
      <c r="P46" s="8" t="n">
        <f aca="false">IFERROR(VLOOKUP($A46,BOM!$A$2:$E$54,5,0),0)</f>
        <v>4</v>
      </c>
      <c r="Q46" s="8" t="n">
        <f aca="false">CEILING($P46*Assumptions!$B$4/$D46,1)</f>
        <v>4</v>
      </c>
      <c r="R46" s="8" t="n">
        <f aca="false">CEILING($P46*Assumptions!$B$5/$D46,1)</f>
        <v>40</v>
      </c>
      <c r="S46" s="8" t="n">
        <f aca="false">CEILING($P46*Assumptions!$B$6/$D46,1)</f>
        <v>400</v>
      </c>
      <c r="T46" s="7" t="n">
        <f aca="false">IF(ISNUMBER($E46),IF(AND(ISNUMBER($I46),ISNUMBER($H46)),IF($H46&lt;=$Q46,$I46,IF(AND(ISNUMBER($G46),ISNUMBER($F46)),IF($F46&lt;=$Q46,$G46,$E46),$E46)),IF(AND(ISNUMBER($G46),ISNUMBER($F46)),IF($F46&lt;=$Q46,$G46,$E46),$E46))*(1+IF($J46="Y",0,Assumptions!$B$3)),"")</f>
        <v>3.641</v>
      </c>
      <c r="U46" s="7" t="n">
        <f aca="false">IF(ISNUMBER($E46),IF(AND(ISNUMBER($I46),ISNUMBER($H46)),IF($H46&lt;=$R46,$I46,IF(AND(ISNUMBER($G46),ISNUMBER($F46)),IF($F46&lt;=$R46,$G46,$E46),$E46)),IF(AND(ISNUMBER($G46),ISNUMBER($F46)),IF($F46&lt;=$R46,$G46,$E46),$E46))*(1+IF($J46="Y",0,Assumptions!$B$3)),"")</f>
        <v>2.585</v>
      </c>
      <c r="V46" s="7" t="n">
        <f aca="false">IF(ISNUMBER($E46),IF(AND(ISNUMBER($I46),ISNUMBER($H46)),IF($H46&lt;=$S46,$I46,IF(AND(ISNUMBER($G46),ISNUMBER($F46)),IF($F46&lt;=$S46,$G46,$E46),$E46)),IF(AND(ISNUMBER($G46),ISNUMBER($F46)),IF($F46&lt;=$S46,$G46,$E46),$E46))*(1+IF($J46="Y",0,Assumptions!$B$3)),"")</f>
        <v>1.991</v>
      </c>
      <c r="W46" s="7" t="n">
        <f aca="false">IF(ISNUMBER($T46),$Q46*$T46/Assumptions!$B$4,"")</f>
        <v>14.564</v>
      </c>
      <c r="X46" s="7" t="n">
        <f aca="false">IF(ISNUMBER($U46),$R46*$U46/Assumptions!$B$5,"")</f>
        <v>10.34</v>
      </c>
      <c r="Y46" s="7" t="n">
        <f aca="false">IF(ISNUMBER($V46),$S46*$V46/Assumptions!$B$6,"")</f>
        <v>7.964</v>
      </c>
      <c r="Z46" s="8" t="str">
        <f aca="false">$A46&amp;"|"&amp;IF(ISNUMBER($W46),TEXT($W46,"0.0000"),"x")&amp;"|"&amp;$L46</f>
        <v>DS2|14.5640|Y</v>
      </c>
      <c r="AA46" s="8" t="str">
        <f aca="false">$A46&amp;"|"&amp;IF(ISNUMBER($Y46),TEXT($Y46,"0.0000"),"x")&amp;"|"&amp;$L46</f>
        <v>DS2|7.9640|Y</v>
      </c>
    </row>
    <row r="47" customFormat="false" ht="15" hidden="false" customHeight="false" outlineLevel="0" collapsed="false">
      <c r="A47" s="8" t="s">
        <v>131</v>
      </c>
      <c r="B47" s="8" t="s">
        <v>284</v>
      </c>
      <c r="C47" s="8" t="s">
        <v>424</v>
      </c>
      <c r="D47" s="12" t="n">
        <v>1</v>
      </c>
      <c r="E47" s="14" t="n">
        <v>0.85</v>
      </c>
      <c r="F47" s="12" t="n">
        <v>5</v>
      </c>
      <c r="G47" s="14" t="n">
        <v>0.82</v>
      </c>
      <c r="H47" s="12" t="n">
        <v>100</v>
      </c>
      <c r="I47" s="14" t="n">
        <v>0.77</v>
      </c>
      <c r="J47" s="12" t="s">
        <v>263</v>
      </c>
      <c r="K47" s="8" t="s">
        <v>425</v>
      </c>
      <c r="L47" s="12" t="s">
        <v>265</v>
      </c>
      <c r="M47" s="8" t="s">
        <v>35</v>
      </c>
      <c r="N47" s="15" t="s">
        <v>426</v>
      </c>
      <c r="O47" s="8" t="s">
        <v>427</v>
      </c>
      <c r="P47" s="8" t="n">
        <f aca="false">IFERROR(VLOOKUP($A47,BOM!$A$2:$E$54,5,0),0)</f>
        <v>50</v>
      </c>
      <c r="Q47" s="8" t="n">
        <f aca="false">CEILING($P47*Assumptions!$B$4/$D47,1)</f>
        <v>50</v>
      </c>
      <c r="R47" s="8" t="n">
        <f aca="false">CEILING($P47*Assumptions!$B$5/$D47,1)</f>
        <v>500</v>
      </c>
      <c r="S47" s="8" t="n">
        <f aca="false">CEILING($P47*Assumptions!$B$6/$D47,1)</f>
        <v>5000</v>
      </c>
      <c r="T47" s="7" t="n">
        <f aca="false">IF(ISNUMBER($E47),IF(AND(ISNUMBER($I47),ISNUMBER($H47)),IF($H47&lt;=$Q47,$I47,IF(AND(ISNUMBER($G47),ISNUMBER($F47)),IF($F47&lt;=$Q47,$G47,$E47),$E47)),IF(AND(ISNUMBER($G47),ISNUMBER($F47)),IF($F47&lt;=$Q47,$G47,$E47),$E47))*(1+IF($J47="Y",0,Assumptions!$B$3)),"")</f>
        <v>0.902</v>
      </c>
      <c r="U47" s="7" t="n">
        <f aca="false">IF(ISNUMBER($E47),IF(AND(ISNUMBER($I47),ISNUMBER($H47)),IF($H47&lt;=$R47,$I47,IF(AND(ISNUMBER($G47),ISNUMBER($F47)),IF($F47&lt;=$R47,$G47,$E47),$E47)),IF(AND(ISNUMBER($G47),ISNUMBER($F47)),IF($F47&lt;=$R47,$G47,$E47),$E47))*(1+IF($J47="Y",0,Assumptions!$B$3)),"")</f>
        <v>0.847</v>
      </c>
      <c r="V47" s="7" t="n">
        <f aca="false">IF(ISNUMBER($E47),IF(AND(ISNUMBER($I47),ISNUMBER($H47)),IF($H47&lt;=$S47,$I47,IF(AND(ISNUMBER($G47),ISNUMBER($F47)),IF($F47&lt;=$S47,$G47,$E47),$E47)),IF(AND(ISNUMBER($G47),ISNUMBER($F47)),IF($F47&lt;=$S47,$G47,$E47),$E47))*(1+IF($J47="Y",0,Assumptions!$B$3)),"")</f>
        <v>0.847</v>
      </c>
      <c r="W47" s="7" t="n">
        <f aca="false">IF(ISNUMBER($T47),$Q47*$T47/Assumptions!$B$4,"")</f>
        <v>45.1</v>
      </c>
      <c r="X47" s="7" t="n">
        <f aca="false">IF(ISNUMBER($U47),$R47*$U47/Assumptions!$B$5,"")</f>
        <v>42.35</v>
      </c>
      <c r="Y47" s="7" t="n">
        <f aca="false">IF(ISNUMBER($V47),$S47*$V47/Assumptions!$B$6,"")</f>
        <v>42.35</v>
      </c>
      <c r="Z47" s="8" t="str">
        <f aca="false">$A47&amp;"|"&amp;IF(ISNUMBER($W47),TEXT($W47,"0.0000"),"x")&amp;"|"&amp;$L47</f>
        <v>LED1|45.1000|Y</v>
      </c>
      <c r="AA47" s="8" t="str">
        <f aca="false">$A47&amp;"|"&amp;IF(ISNUMBER($Y47),TEXT($Y47,"0.0000"),"x")&amp;"|"&amp;$L47</f>
        <v>LED1|42.3500|Y</v>
      </c>
    </row>
    <row r="48" customFormat="false" ht="15" hidden="false" customHeight="false" outlineLevel="0" collapsed="false">
      <c r="A48" s="8" t="s">
        <v>131</v>
      </c>
      <c r="B48" s="8" t="s">
        <v>292</v>
      </c>
      <c r="C48" s="8" t="s">
        <v>428</v>
      </c>
      <c r="D48" s="12" t="n">
        <v>1</v>
      </c>
      <c r="E48" s="14" t="n">
        <v>0.483</v>
      </c>
      <c r="F48" s="12" t="n">
        <v>10</v>
      </c>
      <c r="G48" s="14" t="n">
        <v>0.352</v>
      </c>
      <c r="H48" s="12" t="n">
        <v>100</v>
      </c>
      <c r="I48" s="14" t="n">
        <v>0.268</v>
      </c>
      <c r="J48" s="12" t="s">
        <v>263</v>
      </c>
      <c r="K48" s="8" t="s">
        <v>429</v>
      </c>
      <c r="L48" s="12" t="s">
        <v>265</v>
      </c>
      <c r="M48" s="8" t="s">
        <v>35</v>
      </c>
      <c r="N48" s="15" t="s">
        <v>430</v>
      </c>
      <c r="O48" s="8" t="s">
        <v>431</v>
      </c>
      <c r="P48" s="8" t="n">
        <f aca="false">IFERROR(VLOOKUP($A48,BOM!$A$2:$E$54,5,0),0)</f>
        <v>50</v>
      </c>
      <c r="Q48" s="8" t="n">
        <f aca="false">CEILING($P48*Assumptions!$B$4/$D48,1)</f>
        <v>50</v>
      </c>
      <c r="R48" s="8" t="n">
        <f aca="false">CEILING($P48*Assumptions!$B$5/$D48,1)</f>
        <v>500</v>
      </c>
      <c r="S48" s="8" t="n">
        <f aca="false">CEILING($P48*Assumptions!$B$6/$D48,1)</f>
        <v>5000</v>
      </c>
      <c r="T48" s="7" t="n">
        <f aca="false">IF(ISNUMBER($E48),IF(AND(ISNUMBER($I48),ISNUMBER($H48)),IF($H48&lt;=$Q48,$I48,IF(AND(ISNUMBER($G48),ISNUMBER($F48)),IF($F48&lt;=$Q48,$G48,$E48),$E48)),IF(AND(ISNUMBER($G48),ISNUMBER($F48)),IF($F48&lt;=$Q48,$G48,$E48),$E48))*(1+IF($J48="Y",0,Assumptions!$B$3)),"")</f>
        <v>0.3872</v>
      </c>
      <c r="U48" s="7" t="n">
        <f aca="false">IF(ISNUMBER($E48),IF(AND(ISNUMBER($I48),ISNUMBER($H48)),IF($H48&lt;=$R48,$I48,IF(AND(ISNUMBER($G48),ISNUMBER($F48)),IF($F48&lt;=$R48,$G48,$E48),$E48)),IF(AND(ISNUMBER($G48),ISNUMBER($F48)),IF($F48&lt;=$R48,$G48,$E48),$E48))*(1+IF($J48="Y",0,Assumptions!$B$3)),"")</f>
        <v>0.2948</v>
      </c>
      <c r="V48" s="7" t="n">
        <f aca="false">IF(ISNUMBER($E48),IF(AND(ISNUMBER($I48),ISNUMBER($H48)),IF($H48&lt;=$S48,$I48,IF(AND(ISNUMBER($G48),ISNUMBER($F48)),IF($F48&lt;=$S48,$G48,$E48),$E48)),IF(AND(ISNUMBER($G48),ISNUMBER($F48)),IF($F48&lt;=$S48,$G48,$E48),$E48))*(1+IF($J48="Y",0,Assumptions!$B$3)),"")</f>
        <v>0.2948</v>
      </c>
      <c r="W48" s="7" t="n">
        <f aca="false">IF(ISNUMBER($T48),$Q48*$T48/Assumptions!$B$4,"")</f>
        <v>19.36</v>
      </c>
      <c r="X48" s="7" t="n">
        <f aca="false">IF(ISNUMBER($U48),$R48*$U48/Assumptions!$B$5,"")</f>
        <v>14.74</v>
      </c>
      <c r="Y48" s="7" t="n">
        <f aca="false">IF(ISNUMBER($V48),$S48*$V48/Assumptions!$B$6,"")</f>
        <v>14.74</v>
      </c>
      <c r="Z48" s="8" t="str">
        <f aca="false">$A48&amp;"|"&amp;IF(ISNUMBER($W48),TEXT($W48,"0.0000"),"x")&amp;"|"&amp;$L48</f>
        <v>LED1|19.3600|Y</v>
      </c>
      <c r="AA48" s="8" t="str">
        <f aca="false">$A48&amp;"|"&amp;IF(ISNUMBER($Y48),TEXT($Y48,"0.0000"),"x")&amp;"|"&amp;$L48</f>
        <v>LED1|14.7400|Y</v>
      </c>
    </row>
    <row r="49" customFormat="false" ht="15" hidden="false" customHeight="false" outlineLevel="0" collapsed="false">
      <c r="A49" s="8" t="s">
        <v>135</v>
      </c>
      <c r="B49" s="8" t="s">
        <v>284</v>
      </c>
      <c r="C49" s="8" t="s">
        <v>432</v>
      </c>
      <c r="D49" s="12" t="n">
        <v>1</v>
      </c>
      <c r="E49" s="14" t="n">
        <v>0.85</v>
      </c>
      <c r="F49" s="12" t="n">
        <v>5</v>
      </c>
      <c r="G49" s="14" t="n">
        <v>0.82</v>
      </c>
      <c r="H49" s="12" t="n">
        <v>100</v>
      </c>
      <c r="I49" s="14" t="n">
        <v>0.77</v>
      </c>
      <c r="J49" s="12" t="s">
        <v>263</v>
      </c>
      <c r="K49" s="8" t="s">
        <v>433</v>
      </c>
      <c r="L49" s="12" t="s">
        <v>265</v>
      </c>
      <c r="M49" s="8" t="s">
        <v>35</v>
      </c>
      <c r="N49" s="15" t="s">
        <v>434</v>
      </c>
      <c r="O49" s="8" t="s">
        <v>435</v>
      </c>
      <c r="P49" s="8" t="n">
        <f aca="false">IFERROR(VLOOKUP($A49,BOM!$A$2:$E$54,5,0),0)</f>
        <v>32</v>
      </c>
      <c r="Q49" s="8" t="n">
        <f aca="false">CEILING($P49*Assumptions!$B$4/$D49,1)</f>
        <v>32</v>
      </c>
      <c r="R49" s="8" t="n">
        <f aca="false">CEILING($P49*Assumptions!$B$5/$D49,1)</f>
        <v>320</v>
      </c>
      <c r="S49" s="8" t="n">
        <f aca="false">CEILING($P49*Assumptions!$B$6/$D49,1)</f>
        <v>3200</v>
      </c>
      <c r="T49" s="7" t="n">
        <f aca="false">IF(ISNUMBER($E49),IF(AND(ISNUMBER($I49),ISNUMBER($H49)),IF($H49&lt;=$Q49,$I49,IF(AND(ISNUMBER($G49),ISNUMBER($F49)),IF($F49&lt;=$Q49,$G49,$E49),$E49)),IF(AND(ISNUMBER($G49),ISNUMBER($F49)),IF($F49&lt;=$Q49,$G49,$E49),$E49))*(1+IF($J49="Y",0,Assumptions!$B$3)),"")</f>
        <v>0.902</v>
      </c>
      <c r="U49" s="7" t="n">
        <f aca="false">IF(ISNUMBER($E49),IF(AND(ISNUMBER($I49),ISNUMBER($H49)),IF($H49&lt;=$R49,$I49,IF(AND(ISNUMBER($G49),ISNUMBER($F49)),IF($F49&lt;=$R49,$G49,$E49),$E49)),IF(AND(ISNUMBER($G49),ISNUMBER($F49)),IF($F49&lt;=$R49,$G49,$E49),$E49))*(1+IF($J49="Y",0,Assumptions!$B$3)),"")</f>
        <v>0.847</v>
      </c>
      <c r="V49" s="7" t="n">
        <f aca="false">IF(ISNUMBER($E49),IF(AND(ISNUMBER($I49),ISNUMBER($H49)),IF($H49&lt;=$S49,$I49,IF(AND(ISNUMBER($G49),ISNUMBER($F49)),IF($F49&lt;=$S49,$G49,$E49),$E49)),IF(AND(ISNUMBER($G49),ISNUMBER($F49)),IF($F49&lt;=$S49,$G49,$E49),$E49))*(1+IF($J49="Y",0,Assumptions!$B$3)),"")</f>
        <v>0.847</v>
      </c>
      <c r="W49" s="7" t="n">
        <f aca="false">IF(ISNUMBER($T49),$Q49*$T49/Assumptions!$B$4,"")</f>
        <v>28.864</v>
      </c>
      <c r="X49" s="7" t="n">
        <f aca="false">IF(ISNUMBER($U49),$R49*$U49/Assumptions!$B$5,"")</f>
        <v>27.104</v>
      </c>
      <c r="Y49" s="7" t="n">
        <f aca="false">IF(ISNUMBER($V49),$S49*$V49/Assumptions!$B$6,"")</f>
        <v>27.104</v>
      </c>
      <c r="Z49" s="8" t="str">
        <f aca="false">$A49&amp;"|"&amp;IF(ISNUMBER($W49),TEXT($W49,"0.0000"),"x")&amp;"|"&amp;$L49</f>
        <v>LED2|28.8640|Y</v>
      </c>
      <c r="AA49" s="8" t="str">
        <f aca="false">$A49&amp;"|"&amp;IF(ISNUMBER($Y49),TEXT($Y49,"0.0000"),"x")&amp;"|"&amp;$L49</f>
        <v>LED2|27.1040|Y</v>
      </c>
    </row>
    <row r="50" customFormat="false" ht="15" hidden="false" customHeight="false" outlineLevel="0" collapsed="false">
      <c r="A50" s="8" t="s">
        <v>135</v>
      </c>
      <c r="B50" s="8" t="s">
        <v>292</v>
      </c>
      <c r="C50" s="8" t="s">
        <v>436</v>
      </c>
      <c r="D50" s="12" t="n">
        <v>1</v>
      </c>
      <c r="E50" s="14" t="n">
        <v>0.409</v>
      </c>
      <c r="F50" s="12" t="n">
        <v>10</v>
      </c>
      <c r="G50" s="14" t="n">
        <v>0.284</v>
      </c>
      <c r="H50" s="12" t="n">
        <v>100</v>
      </c>
      <c r="I50" s="14" t="n">
        <v>0.2</v>
      </c>
      <c r="J50" s="12" t="s">
        <v>263</v>
      </c>
      <c r="K50" s="8" t="s">
        <v>437</v>
      </c>
      <c r="L50" s="12" t="s">
        <v>265</v>
      </c>
      <c r="M50" s="8" t="s">
        <v>35</v>
      </c>
      <c r="N50" s="15" t="s">
        <v>438</v>
      </c>
      <c r="O50" s="8" t="s">
        <v>439</v>
      </c>
      <c r="P50" s="8" t="n">
        <f aca="false">IFERROR(VLOOKUP($A50,BOM!$A$2:$E$54,5,0),0)</f>
        <v>32</v>
      </c>
      <c r="Q50" s="8" t="n">
        <f aca="false">CEILING($P50*Assumptions!$B$4/$D50,1)</f>
        <v>32</v>
      </c>
      <c r="R50" s="8" t="n">
        <f aca="false">CEILING($P50*Assumptions!$B$5/$D50,1)</f>
        <v>320</v>
      </c>
      <c r="S50" s="8" t="n">
        <f aca="false">CEILING($P50*Assumptions!$B$6/$D50,1)</f>
        <v>3200</v>
      </c>
      <c r="T50" s="7" t="n">
        <f aca="false">IF(ISNUMBER($E50),IF(AND(ISNUMBER($I50),ISNUMBER($H50)),IF($H50&lt;=$Q50,$I50,IF(AND(ISNUMBER($G50),ISNUMBER($F50)),IF($F50&lt;=$Q50,$G50,$E50),$E50)),IF(AND(ISNUMBER($G50),ISNUMBER($F50)),IF($F50&lt;=$Q50,$G50,$E50),$E50))*(1+IF($J50="Y",0,Assumptions!$B$3)),"")</f>
        <v>0.3124</v>
      </c>
      <c r="U50" s="7" t="n">
        <f aca="false">IF(ISNUMBER($E50),IF(AND(ISNUMBER($I50),ISNUMBER($H50)),IF($H50&lt;=$R50,$I50,IF(AND(ISNUMBER($G50),ISNUMBER($F50)),IF($F50&lt;=$R50,$G50,$E50),$E50)),IF(AND(ISNUMBER($G50),ISNUMBER($F50)),IF($F50&lt;=$R50,$G50,$E50),$E50))*(1+IF($J50="Y",0,Assumptions!$B$3)),"")</f>
        <v>0.22</v>
      </c>
      <c r="V50" s="7" t="n">
        <f aca="false">IF(ISNUMBER($E50),IF(AND(ISNUMBER($I50),ISNUMBER($H50)),IF($H50&lt;=$S50,$I50,IF(AND(ISNUMBER($G50),ISNUMBER($F50)),IF($F50&lt;=$S50,$G50,$E50),$E50)),IF(AND(ISNUMBER($G50),ISNUMBER($F50)),IF($F50&lt;=$S50,$G50,$E50),$E50))*(1+IF($J50="Y",0,Assumptions!$B$3)),"")</f>
        <v>0.22</v>
      </c>
      <c r="W50" s="7" t="n">
        <f aca="false">IF(ISNUMBER($T50),$Q50*$T50/Assumptions!$B$4,"")</f>
        <v>9.9968</v>
      </c>
      <c r="X50" s="7" t="n">
        <f aca="false">IF(ISNUMBER($U50),$R50*$U50/Assumptions!$B$5,"")</f>
        <v>7.04</v>
      </c>
      <c r="Y50" s="7" t="n">
        <f aca="false">IF(ISNUMBER($V50),$S50*$V50/Assumptions!$B$6,"")</f>
        <v>7.04</v>
      </c>
      <c r="Z50" s="8" t="str">
        <f aca="false">$A50&amp;"|"&amp;IF(ISNUMBER($W50),TEXT($W50,"0.0000"),"x")&amp;"|"&amp;$L50</f>
        <v>LED2|9.9968|Y</v>
      </c>
      <c r="AA50" s="8" t="str">
        <f aca="false">$A50&amp;"|"&amp;IF(ISNUMBER($Y50),TEXT($Y50,"0.0000"),"x")&amp;"|"&amp;$L50</f>
        <v>LED2|7.0400|Y</v>
      </c>
    </row>
    <row r="51" customFormat="false" ht="15" hidden="false" customHeight="false" outlineLevel="0" collapsed="false">
      <c r="A51" s="8" t="s">
        <v>139</v>
      </c>
      <c r="B51" s="8" t="s">
        <v>284</v>
      </c>
      <c r="C51" s="8" t="s">
        <v>440</v>
      </c>
      <c r="D51" s="12" t="n">
        <v>1</v>
      </c>
      <c r="E51" s="14" t="n">
        <v>0.78</v>
      </c>
      <c r="F51" s="12" t="n">
        <v>5</v>
      </c>
      <c r="G51" s="14" t="n">
        <v>0.75</v>
      </c>
      <c r="H51" s="12" t="n">
        <v>100</v>
      </c>
      <c r="I51" s="14" t="n">
        <v>0.71</v>
      </c>
      <c r="J51" s="12" t="s">
        <v>263</v>
      </c>
      <c r="K51" s="8" t="s">
        <v>441</v>
      </c>
      <c r="L51" s="12" t="s">
        <v>265</v>
      </c>
      <c r="M51" s="8" t="s">
        <v>35</v>
      </c>
      <c r="N51" s="15" t="s">
        <v>442</v>
      </c>
      <c r="O51" s="8" t="s">
        <v>443</v>
      </c>
      <c r="P51" s="8" t="n">
        <f aca="false">IFERROR(VLOOKUP($A51,BOM!$A$2:$E$54,5,0),0)</f>
        <v>10</v>
      </c>
      <c r="Q51" s="8" t="n">
        <f aca="false">CEILING($P51*Assumptions!$B$4/$D51,1)</f>
        <v>10</v>
      </c>
      <c r="R51" s="8" t="n">
        <f aca="false">CEILING($P51*Assumptions!$B$5/$D51,1)</f>
        <v>100</v>
      </c>
      <c r="S51" s="8" t="n">
        <f aca="false">CEILING($P51*Assumptions!$B$6/$D51,1)</f>
        <v>1000</v>
      </c>
      <c r="T51" s="7" t="n">
        <f aca="false">IF(ISNUMBER($E51),IF(AND(ISNUMBER($I51),ISNUMBER($H51)),IF($H51&lt;=$Q51,$I51,IF(AND(ISNUMBER($G51),ISNUMBER($F51)),IF($F51&lt;=$Q51,$G51,$E51),$E51)),IF(AND(ISNUMBER($G51),ISNUMBER($F51)),IF($F51&lt;=$Q51,$G51,$E51),$E51))*(1+IF($J51="Y",0,Assumptions!$B$3)),"")</f>
        <v>0.825</v>
      </c>
      <c r="U51" s="7" t="n">
        <f aca="false">IF(ISNUMBER($E51),IF(AND(ISNUMBER($I51),ISNUMBER($H51)),IF($H51&lt;=$R51,$I51,IF(AND(ISNUMBER($G51),ISNUMBER($F51)),IF($F51&lt;=$R51,$G51,$E51),$E51)),IF(AND(ISNUMBER($G51),ISNUMBER($F51)),IF($F51&lt;=$R51,$G51,$E51),$E51))*(1+IF($J51="Y",0,Assumptions!$B$3)),"")</f>
        <v>0.781</v>
      </c>
      <c r="V51" s="7" t="n">
        <f aca="false">IF(ISNUMBER($E51),IF(AND(ISNUMBER($I51),ISNUMBER($H51)),IF($H51&lt;=$S51,$I51,IF(AND(ISNUMBER($G51),ISNUMBER($F51)),IF($F51&lt;=$S51,$G51,$E51),$E51)),IF(AND(ISNUMBER($G51),ISNUMBER($F51)),IF($F51&lt;=$S51,$G51,$E51),$E51))*(1+IF($J51="Y",0,Assumptions!$B$3)),"")</f>
        <v>0.781</v>
      </c>
      <c r="W51" s="7" t="n">
        <f aca="false">IF(ISNUMBER($T51),$Q51*$T51/Assumptions!$B$4,"")</f>
        <v>8.25</v>
      </c>
      <c r="X51" s="7" t="n">
        <f aca="false">IF(ISNUMBER($U51),$R51*$U51/Assumptions!$B$5,"")</f>
        <v>7.81</v>
      </c>
      <c r="Y51" s="7" t="n">
        <f aca="false">IF(ISNUMBER($V51),$S51*$V51/Assumptions!$B$6,"")</f>
        <v>7.81</v>
      </c>
      <c r="Z51" s="8" t="str">
        <f aca="false">$A51&amp;"|"&amp;IF(ISNUMBER($W51),TEXT($W51,"0.0000"),"x")&amp;"|"&amp;$L51</f>
        <v>LED3|8.2500|Y</v>
      </c>
      <c r="AA51" s="8" t="str">
        <f aca="false">$A51&amp;"|"&amp;IF(ISNUMBER($Y51),TEXT($Y51,"0.0000"),"x")&amp;"|"&amp;$L51</f>
        <v>LED3|7.8100|Y</v>
      </c>
    </row>
    <row r="52" customFormat="false" ht="15" hidden="false" customHeight="false" outlineLevel="0" collapsed="false">
      <c r="A52" s="8" t="s">
        <v>139</v>
      </c>
      <c r="B52" s="8" t="s">
        <v>292</v>
      </c>
      <c r="C52" s="8" t="s">
        <v>444</v>
      </c>
      <c r="D52" s="12" t="n">
        <v>1</v>
      </c>
      <c r="E52" s="14" t="n">
        <v>0.722</v>
      </c>
      <c r="F52" s="12" t="n">
        <v>10</v>
      </c>
      <c r="G52" s="14" t="n">
        <v>0.563</v>
      </c>
      <c r="H52" s="12" t="n">
        <v>100</v>
      </c>
      <c r="I52" s="14" t="n">
        <v>0.443</v>
      </c>
      <c r="J52" s="12" t="s">
        <v>263</v>
      </c>
      <c r="K52" s="8" t="s">
        <v>445</v>
      </c>
      <c r="L52" s="12" t="s">
        <v>265</v>
      </c>
      <c r="M52" s="8" t="s">
        <v>35</v>
      </c>
      <c r="N52" s="15" t="s">
        <v>446</v>
      </c>
      <c r="O52" s="8" t="s">
        <v>447</v>
      </c>
      <c r="P52" s="8" t="n">
        <f aca="false">IFERROR(VLOOKUP($A52,BOM!$A$2:$E$54,5,0),0)</f>
        <v>10</v>
      </c>
      <c r="Q52" s="8" t="n">
        <f aca="false">CEILING($P52*Assumptions!$B$4/$D52,1)</f>
        <v>10</v>
      </c>
      <c r="R52" s="8" t="n">
        <f aca="false">CEILING($P52*Assumptions!$B$5/$D52,1)</f>
        <v>100</v>
      </c>
      <c r="S52" s="8" t="n">
        <f aca="false">CEILING($P52*Assumptions!$B$6/$D52,1)</f>
        <v>1000</v>
      </c>
      <c r="T52" s="7" t="n">
        <f aca="false">IF(ISNUMBER($E52),IF(AND(ISNUMBER($I52),ISNUMBER($H52)),IF($H52&lt;=$Q52,$I52,IF(AND(ISNUMBER($G52),ISNUMBER($F52)),IF($F52&lt;=$Q52,$G52,$E52),$E52)),IF(AND(ISNUMBER($G52),ISNUMBER($F52)),IF($F52&lt;=$Q52,$G52,$E52),$E52))*(1+IF($J52="Y",0,Assumptions!$B$3)),"")</f>
        <v>0.6193</v>
      </c>
      <c r="U52" s="7" t="n">
        <f aca="false">IF(ISNUMBER($E52),IF(AND(ISNUMBER($I52),ISNUMBER($H52)),IF($H52&lt;=$R52,$I52,IF(AND(ISNUMBER($G52),ISNUMBER($F52)),IF($F52&lt;=$R52,$G52,$E52),$E52)),IF(AND(ISNUMBER($G52),ISNUMBER($F52)),IF($F52&lt;=$R52,$G52,$E52),$E52))*(1+IF($J52="Y",0,Assumptions!$B$3)),"")</f>
        <v>0.4873</v>
      </c>
      <c r="V52" s="7" t="n">
        <f aca="false">IF(ISNUMBER($E52),IF(AND(ISNUMBER($I52),ISNUMBER($H52)),IF($H52&lt;=$S52,$I52,IF(AND(ISNUMBER($G52),ISNUMBER($F52)),IF($F52&lt;=$S52,$G52,$E52),$E52)),IF(AND(ISNUMBER($G52),ISNUMBER($F52)),IF($F52&lt;=$S52,$G52,$E52),$E52))*(1+IF($J52="Y",0,Assumptions!$B$3)),"")</f>
        <v>0.4873</v>
      </c>
      <c r="W52" s="7" t="n">
        <f aca="false">IF(ISNUMBER($T52),$Q52*$T52/Assumptions!$B$4,"")</f>
        <v>6.193</v>
      </c>
      <c r="X52" s="7" t="n">
        <f aca="false">IF(ISNUMBER($U52),$R52*$U52/Assumptions!$B$5,"")</f>
        <v>4.873</v>
      </c>
      <c r="Y52" s="7" t="n">
        <f aca="false">IF(ISNUMBER($V52),$S52*$V52/Assumptions!$B$6,"")</f>
        <v>4.873</v>
      </c>
      <c r="Z52" s="8" t="str">
        <f aca="false">$A52&amp;"|"&amp;IF(ISNUMBER($W52),TEXT($W52,"0.0000"),"x")&amp;"|"&amp;$L52</f>
        <v>LED3|6.1930|Y</v>
      </c>
      <c r="AA52" s="8" t="str">
        <f aca="false">$A52&amp;"|"&amp;IF(ISNUMBER($Y52),TEXT($Y52,"0.0000"),"x")&amp;"|"&amp;$L52</f>
        <v>LED3|4.8730|Y</v>
      </c>
    </row>
    <row r="53" customFormat="false" ht="15" hidden="false" customHeight="false" outlineLevel="0" collapsed="false">
      <c r="A53" s="8" t="s">
        <v>143</v>
      </c>
      <c r="B53" s="8" t="s">
        <v>284</v>
      </c>
      <c r="C53" s="8" t="s">
        <v>448</v>
      </c>
      <c r="D53" s="12" t="n">
        <v>25</v>
      </c>
      <c r="E53" s="14" t="n">
        <v>11.4</v>
      </c>
      <c r="F53" s="12"/>
      <c r="G53" s="14"/>
      <c r="H53" s="12"/>
      <c r="I53" s="14"/>
      <c r="J53" s="12" t="s">
        <v>265</v>
      </c>
      <c r="K53" s="8" t="s">
        <v>449</v>
      </c>
      <c r="L53" s="12" t="s">
        <v>265</v>
      </c>
      <c r="M53" s="8" t="s">
        <v>266</v>
      </c>
      <c r="N53" s="15" t="s">
        <v>450</v>
      </c>
      <c r="O53" s="8" t="s">
        <v>451</v>
      </c>
      <c r="P53" s="8" t="n">
        <f aca="false">IFERROR(VLOOKUP($A53,BOM!$A$2:$E$54,5,0),0)</f>
        <v>10</v>
      </c>
      <c r="Q53" s="8" t="n">
        <f aca="false">CEILING($P53*Assumptions!$B$4/$D53,1)</f>
        <v>1</v>
      </c>
      <c r="R53" s="8" t="n">
        <f aca="false">CEILING($P53*Assumptions!$B$5/$D53,1)</f>
        <v>4</v>
      </c>
      <c r="S53" s="8" t="n">
        <f aca="false">CEILING($P53*Assumptions!$B$6/$D53,1)</f>
        <v>40</v>
      </c>
      <c r="T53" s="7" t="n">
        <f aca="false">IF(ISNUMBER($E53),IF(AND(ISNUMBER($I53),ISNUMBER($H53)),IF($H53&lt;=$Q53,$I53,IF(AND(ISNUMBER($G53),ISNUMBER($F53)),IF($F53&lt;=$Q53,$G53,$E53),$E53)),IF(AND(ISNUMBER($G53),ISNUMBER($F53)),IF($F53&lt;=$Q53,$G53,$E53),$E53))*(1+IF($J53="Y",0,Assumptions!$B$3)),"")</f>
        <v>11.4</v>
      </c>
      <c r="U53" s="7" t="n">
        <f aca="false">IF(ISNUMBER($E53),IF(AND(ISNUMBER($I53),ISNUMBER($H53)),IF($H53&lt;=$R53,$I53,IF(AND(ISNUMBER($G53),ISNUMBER($F53)),IF($F53&lt;=$R53,$G53,$E53),$E53)),IF(AND(ISNUMBER($G53),ISNUMBER($F53)),IF($F53&lt;=$R53,$G53,$E53),$E53))*(1+IF($J53="Y",0,Assumptions!$B$3)),"")</f>
        <v>11.4</v>
      </c>
      <c r="V53" s="7" t="n">
        <f aca="false">IF(ISNUMBER($E53),IF(AND(ISNUMBER($I53),ISNUMBER($H53)),IF($H53&lt;=$S53,$I53,IF(AND(ISNUMBER($G53),ISNUMBER($F53)),IF($F53&lt;=$S53,$G53,$E53),$E53)),IF(AND(ISNUMBER($G53),ISNUMBER($F53)),IF($F53&lt;=$S53,$G53,$E53),$E53))*(1+IF($J53="Y",0,Assumptions!$B$3)),"")</f>
        <v>11.4</v>
      </c>
      <c r="W53" s="7" t="n">
        <f aca="false">IF(ISNUMBER($T53),$Q53*$T53/Assumptions!$B$4,"")</f>
        <v>11.4</v>
      </c>
      <c r="X53" s="7" t="n">
        <f aca="false">IF(ISNUMBER($U53),$R53*$U53/Assumptions!$B$5,"")</f>
        <v>4.56</v>
      </c>
      <c r="Y53" s="7" t="n">
        <f aca="false">IF(ISNUMBER($V53),$S53*$V53/Assumptions!$B$6,"")</f>
        <v>4.56</v>
      </c>
      <c r="Z53" s="8" t="str">
        <f aca="false">$A53&amp;"|"&amp;IF(ISNUMBER($W53),TEXT($W53,"0.0000"),"x")&amp;"|"&amp;$L53</f>
        <v>LEDB|11.4000|Y</v>
      </c>
      <c r="AA53" s="8" t="str">
        <f aca="false">$A53&amp;"|"&amp;IF(ISNUMBER($Y53),TEXT($Y53,"0.0000"),"x")&amp;"|"&amp;$L53</f>
        <v>LEDB|4.5600|Y</v>
      </c>
    </row>
    <row r="54" customFormat="false" ht="15" hidden="false" customHeight="false" outlineLevel="0" collapsed="false">
      <c r="A54" s="8" t="s">
        <v>143</v>
      </c>
      <c r="B54" s="8" t="s">
        <v>261</v>
      </c>
      <c r="C54" s="8" t="s">
        <v>452</v>
      </c>
      <c r="D54" s="12" t="n">
        <v>1</v>
      </c>
      <c r="E54" s="14" t="n">
        <v>0.522</v>
      </c>
      <c r="F54" s="12" t="n">
        <v>10</v>
      </c>
      <c r="G54" s="14" t="n">
        <v>0.357</v>
      </c>
      <c r="H54" s="12" t="n">
        <v>100</v>
      </c>
      <c r="I54" s="14" t="n">
        <v>0.212</v>
      </c>
      <c r="J54" s="12" t="s">
        <v>263</v>
      </c>
      <c r="K54" s="8" t="s">
        <v>453</v>
      </c>
      <c r="L54" s="12" t="s">
        <v>265</v>
      </c>
      <c r="M54" s="8" t="s">
        <v>266</v>
      </c>
      <c r="N54" s="15" t="s">
        <v>454</v>
      </c>
      <c r="O54" s="8" t="s">
        <v>455</v>
      </c>
      <c r="P54" s="8" t="n">
        <f aca="false">IFERROR(VLOOKUP($A54,BOM!$A$2:$E$54,5,0),0)</f>
        <v>10</v>
      </c>
      <c r="Q54" s="8" t="n">
        <f aca="false">CEILING($P54*Assumptions!$B$4/$D54,1)</f>
        <v>10</v>
      </c>
      <c r="R54" s="8" t="n">
        <f aca="false">CEILING($P54*Assumptions!$B$5/$D54,1)</f>
        <v>100</v>
      </c>
      <c r="S54" s="8" t="n">
        <f aca="false">CEILING($P54*Assumptions!$B$6/$D54,1)</f>
        <v>1000</v>
      </c>
      <c r="T54" s="7" t="n">
        <f aca="false">IF(ISNUMBER($E54),IF(AND(ISNUMBER($I54),ISNUMBER($H54)),IF($H54&lt;=$Q54,$I54,IF(AND(ISNUMBER($G54),ISNUMBER($F54)),IF($F54&lt;=$Q54,$G54,$E54),$E54)),IF(AND(ISNUMBER($G54),ISNUMBER($F54)),IF($F54&lt;=$Q54,$G54,$E54),$E54))*(1+IF($J54="Y",0,Assumptions!$B$3)),"")</f>
        <v>0.3927</v>
      </c>
      <c r="U54" s="7" t="n">
        <f aca="false">IF(ISNUMBER($E54),IF(AND(ISNUMBER($I54),ISNUMBER($H54)),IF($H54&lt;=$R54,$I54,IF(AND(ISNUMBER($G54),ISNUMBER($F54)),IF($F54&lt;=$R54,$G54,$E54),$E54)),IF(AND(ISNUMBER($G54),ISNUMBER($F54)),IF($F54&lt;=$R54,$G54,$E54),$E54))*(1+IF($J54="Y",0,Assumptions!$B$3)),"")</f>
        <v>0.2332</v>
      </c>
      <c r="V54" s="7" t="n">
        <f aca="false">IF(ISNUMBER($E54),IF(AND(ISNUMBER($I54),ISNUMBER($H54)),IF($H54&lt;=$S54,$I54,IF(AND(ISNUMBER($G54),ISNUMBER($F54)),IF($F54&lt;=$S54,$G54,$E54),$E54)),IF(AND(ISNUMBER($G54),ISNUMBER($F54)),IF($F54&lt;=$S54,$G54,$E54),$E54))*(1+IF($J54="Y",0,Assumptions!$B$3)),"")</f>
        <v>0.2332</v>
      </c>
      <c r="W54" s="7" t="n">
        <f aca="false">IF(ISNUMBER($T54),$Q54*$T54/Assumptions!$B$4,"")</f>
        <v>3.927</v>
      </c>
      <c r="X54" s="7" t="n">
        <f aca="false">IF(ISNUMBER($U54),$R54*$U54/Assumptions!$B$5,"")</f>
        <v>2.332</v>
      </c>
      <c r="Y54" s="7" t="n">
        <f aca="false">IF(ISNUMBER($V54),$S54*$V54/Assumptions!$B$6,"")</f>
        <v>2.332</v>
      </c>
      <c r="Z54" s="8" t="str">
        <f aca="false">$A54&amp;"|"&amp;IF(ISNUMBER($W54),TEXT($W54,"0.0000"),"x")&amp;"|"&amp;$L54</f>
        <v>LEDB|3.9270|Y</v>
      </c>
      <c r="AA54" s="8" t="str">
        <f aca="false">$A54&amp;"|"&amp;IF(ISNUMBER($Y54),TEXT($Y54,"0.0000"),"x")&amp;"|"&amp;$L54</f>
        <v>LEDB|2.3320|Y</v>
      </c>
    </row>
    <row r="55" customFormat="false" ht="15" hidden="false" customHeight="false" outlineLevel="0" collapsed="false">
      <c r="A55" s="8" t="s">
        <v>146</v>
      </c>
      <c r="B55" s="8" t="s">
        <v>284</v>
      </c>
      <c r="C55" s="8" t="s">
        <v>456</v>
      </c>
      <c r="D55" s="12" t="n">
        <v>25</v>
      </c>
      <c r="E55" s="14" t="n">
        <v>1.5</v>
      </c>
      <c r="F55" s="12" t="n">
        <v>10</v>
      </c>
      <c r="G55" s="14" t="n">
        <v>1.45</v>
      </c>
      <c r="H55" s="12" t="n">
        <v>50</v>
      </c>
      <c r="I55" s="14" t="n">
        <v>1.43</v>
      </c>
      <c r="J55" s="12" t="s">
        <v>263</v>
      </c>
      <c r="K55" s="8" t="s">
        <v>457</v>
      </c>
      <c r="L55" s="12" t="s">
        <v>265</v>
      </c>
      <c r="M55" s="8" t="s">
        <v>35</v>
      </c>
      <c r="N55" s="15" t="s">
        <v>458</v>
      </c>
      <c r="O55" s="8" t="s">
        <v>459</v>
      </c>
      <c r="P55" s="8" t="n">
        <f aca="false">IFERROR(VLOOKUP($A55,BOM!$A$2:$E$54,5,0),0)</f>
        <v>80</v>
      </c>
      <c r="Q55" s="8" t="n">
        <f aca="false">CEILING($P55*Assumptions!$B$4/$D55,1)</f>
        <v>4</v>
      </c>
      <c r="R55" s="8" t="n">
        <f aca="false">CEILING($P55*Assumptions!$B$5/$D55,1)</f>
        <v>32</v>
      </c>
      <c r="S55" s="8" t="n">
        <f aca="false">CEILING($P55*Assumptions!$B$6/$D55,1)</f>
        <v>320</v>
      </c>
      <c r="T55" s="7" t="n">
        <f aca="false">IF(ISNUMBER($E55),IF(AND(ISNUMBER($I55),ISNUMBER($H55)),IF($H55&lt;=$Q55,$I55,IF(AND(ISNUMBER($G55),ISNUMBER($F55)),IF($F55&lt;=$Q55,$G55,$E55),$E55)),IF(AND(ISNUMBER($G55),ISNUMBER($F55)),IF($F55&lt;=$Q55,$G55,$E55),$E55))*(1+IF($J55="Y",0,Assumptions!$B$3)),"")</f>
        <v>1.65</v>
      </c>
      <c r="U55" s="7" t="n">
        <f aca="false">IF(ISNUMBER($E55),IF(AND(ISNUMBER($I55),ISNUMBER($H55)),IF($H55&lt;=$R55,$I55,IF(AND(ISNUMBER($G55),ISNUMBER($F55)),IF($F55&lt;=$R55,$G55,$E55),$E55)),IF(AND(ISNUMBER($G55),ISNUMBER($F55)),IF($F55&lt;=$R55,$G55,$E55),$E55))*(1+IF($J55="Y",0,Assumptions!$B$3)),"")</f>
        <v>1.595</v>
      </c>
      <c r="V55" s="7" t="n">
        <f aca="false">IF(ISNUMBER($E55),IF(AND(ISNUMBER($I55),ISNUMBER($H55)),IF($H55&lt;=$S55,$I55,IF(AND(ISNUMBER($G55),ISNUMBER($F55)),IF($F55&lt;=$S55,$G55,$E55),$E55)),IF(AND(ISNUMBER($G55),ISNUMBER($F55)),IF($F55&lt;=$S55,$G55,$E55),$E55))*(1+IF($J55="Y",0,Assumptions!$B$3)),"")</f>
        <v>1.573</v>
      </c>
      <c r="W55" s="7" t="n">
        <f aca="false">IF(ISNUMBER($T55),$Q55*$T55/Assumptions!$B$4,"")</f>
        <v>6.6</v>
      </c>
      <c r="X55" s="7" t="n">
        <f aca="false">IF(ISNUMBER($U55),$R55*$U55/Assumptions!$B$5,"")</f>
        <v>5.104</v>
      </c>
      <c r="Y55" s="7" t="n">
        <f aca="false">IF(ISNUMBER($V55),$S55*$V55/Assumptions!$B$6,"")</f>
        <v>5.0336</v>
      </c>
      <c r="Z55" s="8" t="str">
        <f aca="false">$A55&amp;"|"&amp;IF(ISNUMBER($W55),TEXT($W55,"0.0000"),"x")&amp;"|"&amp;$L55</f>
        <v>R01|6.6000|Y</v>
      </c>
      <c r="AA55" s="8" t="str">
        <f aca="false">$A55&amp;"|"&amp;IF(ISNUMBER($Y55),TEXT($Y55,"0.0000"),"x")&amp;"|"&amp;$L55</f>
        <v>R01|5.0336|Y</v>
      </c>
    </row>
    <row r="56" customFormat="false" ht="15" hidden="false" customHeight="false" outlineLevel="0" collapsed="false">
      <c r="A56" s="8" t="s">
        <v>146</v>
      </c>
      <c r="B56" s="8" t="s">
        <v>292</v>
      </c>
      <c r="C56" s="8" t="s">
        <v>460</v>
      </c>
      <c r="D56" s="12" t="n">
        <v>1</v>
      </c>
      <c r="E56" s="14" t="n">
        <v>0.059</v>
      </c>
      <c r="F56" s="12" t="n">
        <v>10</v>
      </c>
      <c r="G56" s="14" t="n">
        <v>0.059</v>
      </c>
      <c r="H56" s="12" t="n">
        <v>100</v>
      </c>
      <c r="I56" s="14" t="n">
        <v>0.034</v>
      </c>
      <c r="J56" s="12" t="s">
        <v>263</v>
      </c>
      <c r="K56" s="8" t="s">
        <v>461</v>
      </c>
      <c r="L56" s="12" t="s">
        <v>265</v>
      </c>
      <c r="M56" s="8" t="s">
        <v>35</v>
      </c>
      <c r="N56" s="15" t="s">
        <v>462</v>
      </c>
      <c r="O56" s="8" t="s">
        <v>463</v>
      </c>
      <c r="P56" s="8" t="n">
        <f aca="false">IFERROR(VLOOKUP($A56,BOM!$A$2:$E$54,5,0),0)</f>
        <v>80</v>
      </c>
      <c r="Q56" s="8" t="n">
        <f aca="false">CEILING($P56*Assumptions!$B$4/$D56,1)</f>
        <v>80</v>
      </c>
      <c r="R56" s="8" t="n">
        <f aca="false">CEILING($P56*Assumptions!$B$5/$D56,1)</f>
        <v>800</v>
      </c>
      <c r="S56" s="8" t="n">
        <f aca="false">CEILING($P56*Assumptions!$B$6/$D56,1)</f>
        <v>8000</v>
      </c>
      <c r="T56" s="7" t="n">
        <f aca="false">IF(ISNUMBER($E56),IF(AND(ISNUMBER($I56),ISNUMBER($H56)),IF($H56&lt;=$Q56,$I56,IF(AND(ISNUMBER($G56),ISNUMBER($F56)),IF($F56&lt;=$Q56,$G56,$E56),$E56)),IF(AND(ISNUMBER($G56),ISNUMBER($F56)),IF($F56&lt;=$Q56,$G56,$E56),$E56))*(1+IF($J56="Y",0,Assumptions!$B$3)),"")</f>
        <v>0.0649</v>
      </c>
      <c r="U56" s="7" t="n">
        <f aca="false">IF(ISNUMBER($E56),IF(AND(ISNUMBER($I56),ISNUMBER($H56)),IF($H56&lt;=$R56,$I56,IF(AND(ISNUMBER($G56),ISNUMBER($F56)),IF($F56&lt;=$R56,$G56,$E56),$E56)),IF(AND(ISNUMBER($G56),ISNUMBER($F56)),IF($F56&lt;=$R56,$G56,$E56),$E56))*(1+IF($J56="Y",0,Assumptions!$B$3)),"")</f>
        <v>0.0374</v>
      </c>
      <c r="V56" s="7" t="n">
        <f aca="false">IF(ISNUMBER($E56),IF(AND(ISNUMBER($I56),ISNUMBER($H56)),IF($H56&lt;=$S56,$I56,IF(AND(ISNUMBER($G56),ISNUMBER($F56)),IF($F56&lt;=$S56,$G56,$E56),$E56)),IF(AND(ISNUMBER($G56),ISNUMBER($F56)),IF($F56&lt;=$S56,$G56,$E56),$E56))*(1+IF($J56="Y",0,Assumptions!$B$3)),"")</f>
        <v>0.0374</v>
      </c>
      <c r="W56" s="7" t="n">
        <f aca="false">IF(ISNUMBER($T56),$Q56*$T56/Assumptions!$B$4,"")</f>
        <v>5.192</v>
      </c>
      <c r="X56" s="7" t="n">
        <f aca="false">IF(ISNUMBER($U56),$R56*$U56/Assumptions!$B$5,"")</f>
        <v>2.992</v>
      </c>
      <c r="Y56" s="7" t="n">
        <f aca="false">IF(ISNUMBER($V56),$S56*$V56/Assumptions!$B$6,"")</f>
        <v>2.992</v>
      </c>
      <c r="Z56" s="8" t="str">
        <f aca="false">$A56&amp;"|"&amp;IF(ISNUMBER($W56),TEXT($W56,"0.0000"),"x")&amp;"|"&amp;$L56</f>
        <v>R01|5.1920|Y</v>
      </c>
      <c r="AA56" s="8" t="str">
        <f aca="false">$A56&amp;"|"&amp;IF(ISNUMBER($Y56),TEXT($Y56,"0.0000"),"x")&amp;"|"&amp;$L56</f>
        <v>R01|2.9920|Y</v>
      </c>
    </row>
    <row r="57" customFormat="false" ht="15" hidden="false" customHeight="false" outlineLevel="0" collapsed="false">
      <c r="A57" s="8" t="s">
        <v>150</v>
      </c>
      <c r="B57" s="8" t="s">
        <v>261</v>
      </c>
      <c r="C57" s="8" t="s">
        <v>464</v>
      </c>
      <c r="D57" s="12" t="n">
        <v>1</v>
      </c>
      <c r="E57" s="14" t="n">
        <v>0.145</v>
      </c>
      <c r="F57" s="12" t="n">
        <v>10</v>
      </c>
      <c r="G57" s="14" t="n">
        <v>0.061</v>
      </c>
      <c r="H57" s="12" t="n">
        <v>100</v>
      </c>
      <c r="I57" s="14" t="n">
        <v>0.039</v>
      </c>
      <c r="J57" s="12" t="s">
        <v>263</v>
      </c>
      <c r="K57" s="8" t="s">
        <v>465</v>
      </c>
      <c r="L57" s="12" t="s">
        <v>265</v>
      </c>
      <c r="M57" s="8" t="s">
        <v>266</v>
      </c>
      <c r="N57" s="15" t="s">
        <v>466</v>
      </c>
      <c r="O57" s="8" t="s">
        <v>467</v>
      </c>
      <c r="P57" s="8" t="n">
        <f aca="false">IFERROR(VLOOKUP($A57,BOM!$A$2:$E$54,5,0),0)</f>
        <v>35</v>
      </c>
      <c r="Q57" s="8" t="n">
        <f aca="false">CEILING($P57*Assumptions!$B$4/$D57,1)</f>
        <v>35</v>
      </c>
      <c r="R57" s="8" t="n">
        <f aca="false">CEILING($P57*Assumptions!$B$5/$D57,1)</f>
        <v>350</v>
      </c>
      <c r="S57" s="8" t="n">
        <f aca="false">CEILING($P57*Assumptions!$B$6/$D57,1)</f>
        <v>3500</v>
      </c>
      <c r="T57" s="7" t="n">
        <f aca="false">IF(ISNUMBER($E57),IF(AND(ISNUMBER($I57),ISNUMBER($H57)),IF($H57&lt;=$Q57,$I57,IF(AND(ISNUMBER($G57),ISNUMBER($F57)),IF($F57&lt;=$Q57,$G57,$E57),$E57)),IF(AND(ISNUMBER($G57),ISNUMBER($F57)),IF($F57&lt;=$Q57,$G57,$E57),$E57))*(1+IF($J57="Y",0,Assumptions!$B$3)),"")</f>
        <v>0.0671</v>
      </c>
      <c r="U57" s="7" t="n">
        <f aca="false">IF(ISNUMBER($E57),IF(AND(ISNUMBER($I57),ISNUMBER($H57)),IF($H57&lt;=$R57,$I57,IF(AND(ISNUMBER($G57),ISNUMBER($F57)),IF($F57&lt;=$R57,$G57,$E57),$E57)),IF(AND(ISNUMBER($G57),ISNUMBER($F57)),IF($F57&lt;=$R57,$G57,$E57),$E57))*(1+IF($J57="Y",0,Assumptions!$B$3)),"")</f>
        <v>0.0429</v>
      </c>
      <c r="V57" s="7" t="n">
        <f aca="false">IF(ISNUMBER($E57),IF(AND(ISNUMBER($I57),ISNUMBER($H57)),IF($H57&lt;=$S57,$I57,IF(AND(ISNUMBER($G57),ISNUMBER($F57)),IF($F57&lt;=$S57,$G57,$E57),$E57)),IF(AND(ISNUMBER($G57),ISNUMBER($F57)),IF($F57&lt;=$S57,$G57,$E57),$E57))*(1+IF($J57="Y",0,Assumptions!$B$3)),"")</f>
        <v>0.0429</v>
      </c>
      <c r="W57" s="7" t="n">
        <f aca="false">IF(ISNUMBER($T57),$Q57*$T57/Assumptions!$B$4,"")</f>
        <v>2.3485</v>
      </c>
      <c r="X57" s="7" t="n">
        <f aca="false">IF(ISNUMBER($U57),$R57*$U57/Assumptions!$B$5,"")</f>
        <v>1.5015</v>
      </c>
      <c r="Y57" s="7" t="n">
        <f aca="false">IF(ISNUMBER($V57),$S57*$V57/Assumptions!$B$6,"")</f>
        <v>1.5015</v>
      </c>
      <c r="Z57" s="8" t="str">
        <f aca="false">$A57&amp;"|"&amp;IF(ISNUMBER($W57),TEXT($W57,"0.0000"),"x")&amp;"|"&amp;$L57</f>
        <v>R2k2|2.3485|Y</v>
      </c>
      <c r="AA57" s="8" t="str">
        <f aca="false">$A57&amp;"|"&amp;IF(ISNUMBER($Y57),TEXT($Y57,"0.0000"),"x")&amp;"|"&amp;$L57</f>
        <v>R2k2|1.5015|Y</v>
      </c>
    </row>
    <row r="58" customFormat="false" ht="15" hidden="false" customHeight="false" outlineLevel="0" collapsed="false">
      <c r="A58" s="8" t="s">
        <v>150</v>
      </c>
      <c r="B58" s="8" t="s">
        <v>292</v>
      </c>
      <c r="C58" s="8" t="s">
        <v>468</v>
      </c>
      <c r="D58" s="12" t="n">
        <v>1</v>
      </c>
      <c r="E58" s="14" t="n">
        <v>0.147</v>
      </c>
      <c r="F58" s="12" t="n">
        <v>25</v>
      </c>
      <c r="G58" s="14" t="n">
        <v>0.048</v>
      </c>
      <c r="H58" s="12" t="n">
        <v>100</v>
      </c>
      <c r="I58" s="14" t="n">
        <v>0.042</v>
      </c>
      <c r="J58" s="12" t="s">
        <v>263</v>
      </c>
      <c r="K58" s="8" t="s">
        <v>469</v>
      </c>
      <c r="L58" s="12" t="s">
        <v>265</v>
      </c>
      <c r="M58" s="8" t="s">
        <v>266</v>
      </c>
      <c r="N58" s="15" t="s">
        <v>470</v>
      </c>
      <c r="O58" s="8" t="s">
        <v>471</v>
      </c>
      <c r="P58" s="8" t="n">
        <f aca="false">IFERROR(VLOOKUP($A58,BOM!$A$2:$E$54,5,0),0)</f>
        <v>35</v>
      </c>
      <c r="Q58" s="8" t="n">
        <f aca="false">CEILING($P58*Assumptions!$B$4/$D58,1)</f>
        <v>35</v>
      </c>
      <c r="R58" s="8" t="n">
        <f aca="false">CEILING($P58*Assumptions!$B$5/$D58,1)</f>
        <v>350</v>
      </c>
      <c r="S58" s="8" t="n">
        <f aca="false">CEILING($P58*Assumptions!$B$6/$D58,1)</f>
        <v>3500</v>
      </c>
      <c r="T58" s="7" t="n">
        <f aca="false">IF(ISNUMBER($E58),IF(AND(ISNUMBER($I58),ISNUMBER($H58)),IF($H58&lt;=$Q58,$I58,IF(AND(ISNUMBER($G58),ISNUMBER($F58)),IF($F58&lt;=$Q58,$G58,$E58),$E58)),IF(AND(ISNUMBER($G58),ISNUMBER($F58)),IF($F58&lt;=$Q58,$G58,$E58),$E58))*(1+IF($J58="Y",0,Assumptions!$B$3)),"")</f>
        <v>0.0528</v>
      </c>
      <c r="U58" s="7" t="n">
        <f aca="false">IF(ISNUMBER($E58),IF(AND(ISNUMBER($I58),ISNUMBER($H58)),IF($H58&lt;=$R58,$I58,IF(AND(ISNUMBER($G58),ISNUMBER($F58)),IF($F58&lt;=$R58,$G58,$E58),$E58)),IF(AND(ISNUMBER($G58),ISNUMBER($F58)),IF($F58&lt;=$R58,$G58,$E58),$E58))*(1+IF($J58="Y",0,Assumptions!$B$3)),"")</f>
        <v>0.0462</v>
      </c>
      <c r="V58" s="7" t="n">
        <f aca="false">IF(ISNUMBER($E58),IF(AND(ISNUMBER($I58),ISNUMBER($H58)),IF($H58&lt;=$S58,$I58,IF(AND(ISNUMBER($G58),ISNUMBER($F58)),IF($F58&lt;=$S58,$G58,$E58),$E58)),IF(AND(ISNUMBER($G58),ISNUMBER($F58)),IF($F58&lt;=$S58,$G58,$E58),$E58))*(1+IF($J58="Y",0,Assumptions!$B$3)),"")</f>
        <v>0.0462</v>
      </c>
      <c r="W58" s="7" t="n">
        <f aca="false">IF(ISNUMBER($T58),$Q58*$T58/Assumptions!$B$4,"")</f>
        <v>1.848</v>
      </c>
      <c r="X58" s="7" t="n">
        <f aca="false">IF(ISNUMBER($U58),$R58*$U58/Assumptions!$B$5,"")</f>
        <v>1.617</v>
      </c>
      <c r="Y58" s="7" t="n">
        <f aca="false">IF(ISNUMBER($V58),$S58*$V58/Assumptions!$B$6,"")</f>
        <v>1.617</v>
      </c>
      <c r="Z58" s="8" t="str">
        <f aca="false">$A58&amp;"|"&amp;IF(ISNUMBER($W58),TEXT($W58,"0.0000"),"x")&amp;"|"&amp;$L58</f>
        <v>R2k2|1.8480|Y</v>
      </c>
      <c r="AA58" s="8" t="str">
        <f aca="false">$A58&amp;"|"&amp;IF(ISNUMBER($Y58),TEXT($Y58,"0.0000"),"x")&amp;"|"&amp;$L58</f>
        <v>R2k2|1.6170|Y</v>
      </c>
    </row>
    <row r="59" customFormat="false" ht="15" hidden="false" customHeight="false" outlineLevel="0" collapsed="false">
      <c r="A59" s="8" t="s">
        <v>153</v>
      </c>
      <c r="B59" s="8" t="s">
        <v>284</v>
      </c>
      <c r="C59" s="8" t="s">
        <v>472</v>
      </c>
      <c r="D59" s="12" t="n">
        <v>1</v>
      </c>
      <c r="E59" s="14" t="n">
        <v>0.09</v>
      </c>
      <c r="F59" s="12" t="n">
        <v>10</v>
      </c>
      <c r="G59" s="14" t="n">
        <v>0.08</v>
      </c>
      <c r="H59" s="12" t="n">
        <v>100</v>
      </c>
      <c r="I59" s="14" t="n">
        <v>0.07</v>
      </c>
      <c r="J59" s="12" t="s">
        <v>263</v>
      </c>
      <c r="K59" s="8" t="s">
        <v>473</v>
      </c>
      <c r="L59" s="12" t="s">
        <v>265</v>
      </c>
      <c r="M59" s="8" t="s">
        <v>35</v>
      </c>
      <c r="N59" s="15" t="s">
        <v>474</v>
      </c>
      <c r="O59" s="8" t="s">
        <v>475</v>
      </c>
      <c r="P59" s="8" t="n">
        <f aca="false">IFERROR(VLOOKUP($A59,BOM!$A$2:$E$54,5,0),0)</f>
        <v>10</v>
      </c>
      <c r="Q59" s="8" t="n">
        <f aca="false">CEILING($P59*Assumptions!$B$4/$D59,1)</f>
        <v>10</v>
      </c>
      <c r="R59" s="8" t="n">
        <f aca="false">CEILING($P59*Assumptions!$B$5/$D59,1)</f>
        <v>100</v>
      </c>
      <c r="S59" s="8" t="n">
        <f aca="false">CEILING($P59*Assumptions!$B$6/$D59,1)</f>
        <v>1000</v>
      </c>
      <c r="T59" s="7" t="n">
        <f aca="false">IF(ISNUMBER($E59),IF(AND(ISNUMBER($I59),ISNUMBER($H59)),IF($H59&lt;=$Q59,$I59,IF(AND(ISNUMBER($G59),ISNUMBER($F59)),IF($F59&lt;=$Q59,$G59,$E59),$E59)),IF(AND(ISNUMBER($G59),ISNUMBER($F59)),IF($F59&lt;=$Q59,$G59,$E59),$E59))*(1+IF($J59="Y",0,Assumptions!$B$3)),"")</f>
        <v>0.088</v>
      </c>
      <c r="U59" s="7" t="n">
        <f aca="false">IF(ISNUMBER($E59),IF(AND(ISNUMBER($I59),ISNUMBER($H59)),IF($H59&lt;=$R59,$I59,IF(AND(ISNUMBER($G59),ISNUMBER($F59)),IF($F59&lt;=$R59,$G59,$E59),$E59)),IF(AND(ISNUMBER($G59),ISNUMBER($F59)),IF($F59&lt;=$R59,$G59,$E59),$E59))*(1+IF($J59="Y",0,Assumptions!$B$3)),"")</f>
        <v>0.077</v>
      </c>
      <c r="V59" s="7" t="n">
        <f aca="false">IF(ISNUMBER($E59),IF(AND(ISNUMBER($I59),ISNUMBER($H59)),IF($H59&lt;=$S59,$I59,IF(AND(ISNUMBER($G59),ISNUMBER($F59)),IF($F59&lt;=$S59,$G59,$E59),$E59)),IF(AND(ISNUMBER($G59),ISNUMBER($F59)),IF($F59&lt;=$S59,$G59,$E59),$E59))*(1+IF($J59="Y",0,Assumptions!$B$3)),"")</f>
        <v>0.077</v>
      </c>
      <c r="W59" s="7" t="n">
        <f aca="false">IF(ISNUMBER($T59),$Q59*$T59/Assumptions!$B$4,"")</f>
        <v>0.88</v>
      </c>
      <c r="X59" s="7" t="n">
        <f aca="false">IF(ISNUMBER($U59),$R59*$U59/Assumptions!$B$5,"")</f>
        <v>0.77</v>
      </c>
      <c r="Y59" s="7" t="n">
        <f aca="false">IF(ISNUMBER($V59),$S59*$V59/Assumptions!$B$6,"")</f>
        <v>0.77</v>
      </c>
      <c r="Z59" s="8" t="str">
        <f aca="false">$A59&amp;"|"&amp;IF(ISNUMBER($W59),TEXT($W59,"0.0000"),"x")&amp;"|"&amp;$L59</f>
        <v>R02|0.8800|Y</v>
      </c>
      <c r="AA59" s="8" t="str">
        <f aca="false">$A59&amp;"|"&amp;IF(ISNUMBER($Y59),TEXT($Y59,"0.0000"),"x")&amp;"|"&amp;$L59</f>
        <v>R02|0.7700|Y</v>
      </c>
    </row>
    <row r="60" customFormat="false" ht="15" hidden="false" customHeight="false" outlineLevel="0" collapsed="false">
      <c r="A60" s="8" t="s">
        <v>153</v>
      </c>
      <c r="B60" s="8" t="s">
        <v>292</v>
      </c>
      <c r="C60" s="8" t="s">
        <v>476</v>
      </c>
      <c r="D60" s="12" t="n">
        <v>1</v>
      </c>
      <c r="E60" s="14" t="n">
        <v>0.059</v>
      </c>
      <c r="F60" s="12" t="n">
        <v>10</v>
      </c>
      <c r="G60" s="14" t="n">
        <v>0.059</v>
      </c>
      <c r="H60" s="12" t="n">
        <v>100</v>
      </c>
      <c r="I60" s="14" t="n">
        <v>0.034</v>
      </c>
      <c r="J60" s="12" t="s">
        <v>263</v>
      </c>
      <c r="K60" s="8" t="s">
        <v>477</v>
      </c>
      <c r="L60" s="12" t="s">
        <v>265</v>
      </c>
      <c r="M60" s="8" t="s">
        <v>35</v>
      </c>
      <c r="N60" s="15" t="s">
        <v>478</v>
      </c>
      <c r="O60" s="8" t="s">
        <v>479</v>
      </c>
      <c r="P60" s="8" t="n">
        <f aca="false">IFERROR(VLOOKUP($A60,BOM!$A$2:$E$54,5,0),0)</f>
        <v>10</v>
      </c>
      <c r="Q60" s="8" t="n">
        <f aca="false">CEILING($P60*Assumptions!$B$4/$D60,1)</f>
        <v>10</v>
      </c>
      <c r="R60" s="8" t="n">
        <f aca="false">CEILING($P60*Assumptions!$B$5/$D60,1)</f>
        <v>100</v>
      </c>
      <c r="S60" s="8" t="n">
        <f aca="false">CEILING($P60*Assumptions!$B$6/$D60,1)</f>
        <v>1000</v>
      </c>
      <c r="T60" s="7" t="n">
        <f aca="false">IF(ISNUMBER($E60),IF(AND(ISNUMBER($I60),ISNUMBER($H60)),IF($H60&lt;=$Q60,$I60,IF(AND(ISNUMBER($G60),ISNUMBER($F60)),IF($F60&lt;=$Q60,$G60,$E60),$E60)),IF(AND(ISNUMBER($G60),ISNUMBER($F60)),IF($F60&lt;=$Q60,$G60,$E60),$E60))*(1+IF($J60="Y",0,Assumptions!$B$3)),"")</f>
        <v>0.0649</v>
      </c>
      <c r="U60" s="7" t="n">
        <f aca="false">IF(ISNUMBER($E60),IF(AND(ISNUMBER($I60),ISNUMBER($H60)),IF($H60&lt;=$R60,$I60,IF(AND(ISNUMBER($G60),ISNUMBER($F60)),IF($F60&lt;=$R60,$G60,$E60),$E60)),IF(AND(ISNUMBER($G60),ISNUMBER($F60)),IF($F60&lt;=$R60,$G60,$E60),$E60))*(1+IF($J60="Y",0,Assumptions!$B$3)),"")</f>
        <v>0.0374</v>
      </c>
      <c r="V60" s="7" t="n">
        <f aca="false">IF(ISNUMBER($E60),IF(AND(ISNUMBER($I60),ISNUMBER($H60)),IF($H60&lt;=$S60,$I60,IF(AND(ISNUMBER($G60),ISNUMBER($F60)),IF($F60&lt;=$S60,$G60,$E60),$E60)),IF(AND(ISNUMBER($G60),ISNUMBER($F60)),IF($F60&lt;=$S60,$G60,$E60),$E60))*(1+IF($J60="Y",0,Assumptions!$B$3)),"")</f>
        <v>0.0374</v>
      </c>
      <c r="W60" s="7" t="n">
        <f aca="false">IF(ISNUMBER($T60),$Q60*$T60/Assumptions!$B$4,"")</f>
        <v>0.649</v>
      </c>
      <c r="X60" s="7" t="n">
        <f aca="false">IF(ISNUMBER($U60),$R60*$U60/Assumptions!$B$5,"")</f>
        <v>0.374</v>
      </c>
      <c r="Y60" s="7" t="n">
        <f aca="false">IF(ISNUMBER($V60),$S60*$V60/Assumptions!$B$6,"")</f>
        <v>0.374</v>
      </c>
      <c r="Z60" s="8" t="str">
        <f aca="false">$A60&amp;"|"&amp;IF(ISNUMBER($W60),TEXT($W60,"0.0000"),"x")&amp;"|"&amp;$L60</f>
        <v>R02|0.6490|Y</v>
      </c>
      <c r="AA60" s="8" t="str">
        <f aca="false">$A60&amp;"|"&amp;IF(ISNUMBER($Y60),TEXT($Y60,"0.0000"),"x")&amp;"|"&amp;$L60</f>
        <v>R02|0.3740|Y</v>
      </c>
    </row>
    <row r="61" customFormat="false" ht="15" hidden="false" customHeight="false" outlineLevel="0" collapsed="false">
      <c r="A61" s="8" t="s">
        <v>157</v>
      </c>
      <c r="B61" s="8" t="s">
        <v>261</v>
      </c>
      <c r="C61" s="8" t="s">
        <v>480</v>
      </c>
      <c r="D61" s="12" t="n">
        <v>1</v>
      </c>
      <c r="E61" s="14" t="n">
        <v>0.145</v>
      </c>
      <c r="F61" s="12" t="n">
        <v>10</v>
      </c>
      <c r="G61" s="14" t="n">
        <v>0.061</v>
      </c>
      <c r="H61" s="12" t="n">
        <v>100</v>
      </c>
      <c r="I61" s="14" t="n">
        <v>0.039</v>
      </c>
      <c r="J61" s="12" t="s">
        <v>263</v>
      </c>
      <c r="K61" s="8" t="s">
        <v>481</v>
      </c>
      <c r="L61" s="12" t="s">
        <v>265</v>
      </c>
      <c r="M61" s="8" t="s">
        <v>266</v>
      </c>
      <c r="N61" s="15" t="s">
        <v>482</v>
      </c>
      <c r="O61" s="8" t="s">
        <v>467</v>
      </c>
      <c r="P61" s="8" t="n">
        <f aca="false">IFERROR(VLOOKUP($A61,BOM!$A$2:$E$54,5,0),0)</f>
        <v>1</v>
      </c>
      <c r="Q61" s="8" t="n">
        <f aca="false">CEILING($P61*Assumptions!$B$4/$D61,1)</f>
        <v>1</v>
      </c>
      <c r="R61" s="8" t="n">
        <f aca="false">CEILING($P61*Assumptions!$B$5/$D61,1)</f>
        <v>10</v>
      </c>
      <c r="S61" s="8" t="n">
        <f aca="false">CEILING($P61*Assumptions!$B$6/$D61,1)</f>
        <v>100</v>
      </c>
      <c r="T61" s="7" t="n">
        <f aca="false">IF(ISNUMBER($E61),IF(AND(ISNUMBER($I61),ISNUMBER($H61)),IF($H61&lt;=$Q61,$I61,IF(AND(ISNUMBER($G61),ISNUMBER($F61)),IF($F61&lt;=$Q61,$G61,$E61),$E61)),IF(AND(ISNUMBER($G61),ISNUMBER($F61)),IF($F61&lt;=$Q61,$G61,$E61),$E61))*(1+IF($J61="Y",0,Assumptions!$B$3)),"")</f>
        <v>0.1595</v>
      </c>
      <c r="U61" s="7" t="n">
        <f aca="false">IF(ISNUMBER($E61),IF(AND(ISNUMBER($I61),ISNUMBER($H61)),IF($H61&lt;=$R61,$I61,IF(AND(ISNUMBER($G61),ISNUMBER($F61)),IF($F61&lt;=$R61,$G61,$E61),$E61)),IF(AND(ISNUMBER($G61),ISNUMBER($F61)),IF($F61&lt;=$R61,$G61,$E61),$E61))*(1+IF($J61="Y",0,Assumptions!$B$3)),"")</f>
        <v>0.0671</v>
      </c>
      <c r="V61" s="7" t="n">
        <f aca="false">IF(ISNUMBER($E61),IF(AND(ISNUMBER($I61),ISNUMBER($H61)),IF($H61&lt;=$S61,$I61,IF(AND(ISNUMBER($G61),ISNUMBER($F61)),IF($F61&lt;=$S61,$G61,$E61),$E61)),IF(AND(ISNUMBER($G61),ISNUMBER($F61)),IF($F61&lt;=$S61,$G61,$E61),$E61))*(1+IF($J61="Y",0,Assumptions!$B$3)),"")</f>
        <v>0.0429</v>
      </c>
      <c r="W61" s="7" t="n">
        <f aca="false">IF(ISNUMBER($T61),$Q61*$T61/Assumptions!$B$4,"")</f>
        <v>0.1595</v>
      </c>
      <c r="X61" s="7" t="n">
        <f aca="false">IF(ISNUMBER($U61),$R61*$U61/Assumptions!$B$5,"")</f>
        <v>0.0671</v>
      </c>
      <c r="Y61" s="7" t="n">
        <f aca="false">IF(ISNUMBER($V61),$S61*$V61/Assumptions!$B$6,"")</f>
        <v>0.0429</v>
      </c>
      <c r="Z61" s="8" t="str">
        <f aca="false">$A61&amp;"|"&amp;IF(ISNUMBER($W61),TEXT($W61,"0.0000"),"x")&amp;"|"&amp;$L61</f>
        <v>R100k|0.1595|Y</v>
      </c>
      <c r="AA61" s="8" t="str">
        <f aca="false">$A61&amp;"|"&amp;IF(ISNUMBER($Y61),TEXT($Y61,"0.0000"),"x")&amp;"|"&amp;$L61</f>
        <v>R100k|0.0429|Y</v>
      </c>
    </row>
    <row r="62" customFormat="false" ht="15" hidden="false" customHeight="false" outlineLevel="0" collapsed="false">
      <c r="A62" s="8" t="s">
        <v>157</v>
      </c>
      <c r="B62" s="8" t="s">
        <v>292</v>
      </c>
      <c r="C62" s="8" t="s">
        <v>483</v>
      </c>
      <c r="D62" s="12" t="n">
        <v>1</v>
      </c>
      <c r="E62" s="14" t="n">
        <v>0.061</v>
      </c>
      <c r="F62" s="12" t="n">
        <v>10</v>
      </c>
      <c r="G62" s="14" t="n">
        <v>0.061</v>
      </c>
      <c r="H62" s="12" t="n">
        <v>100</v>
      </c>
      <c r="I62" s="14" t="n">
        <v>0.04</v>
      </c>
      <c r="J62" s="12" t="s">
        <v>263</v>
      </c>
      <c r="K62" s="8" t="s">
        <v>484</v>
      </c>
      <c r="L62" s="12" t="s">
        <v>265</v>
      </c>
      <c r="M62" s="8" t="s">
        <v>266</v>
      </c>
      <c r="N62" s="15" t="s">
        <v>485</v>
      </c>
      <c r="O62" s="8" t="s">
        <v>486</v>
      </c>
      <c r="P62" s="8" t="n">
        <f aca="false">IFERROR(VLOOKUP($A62,BOM!$A$2:$E$54,5,0),0)</f>
        <v>1</v>
      </c>
      <c r="Q62" s="8" t="n">
        <f aca="false">CEILING($P62*Assumptions!$B$4/$D62,1)</f>
        <v>1</v>
      </c>
      <c r="R62" s="8" t="n">
        <f aca="false">CEILING($P62*Assumptions!$B$5/$D62,1)</f>
        <v>10</v>
      </c>
      <c r="S62" s="8" t="n">
        <f aca="false">CEILING($P62*Assumptions!$B$6/$D62,1)</f>
        <v>100</v>
      </c>
      <c r="T62" s="7" t="n">
        <f aca="false">IF(ISNUMBER($E62),IF(AND(ISNUMBER($I62),ISNUMBER($H62)),IF($H62&lt;=$Q62,$I62,IF(AND(ISNUMBER($G62),ISNUMBER($F62)),IF($F62&lt;=$Q62,$G62,$E62),$E62)),IF(AND(ISNUMBER($G62),ISNUMBER($F62)),IF($F62&lt;=$Q62,$G62,$E62),$E62))*(1+IF($J62="Y",0,Assumptions!$B$3)),"")</f>
        <v>0.0671</v>
      </c>
      <c r="U62" s="7" t="n">
        <f aca="false">IF(ISNUMBER($E62),IF(AND(ISNUMBER($I62),ISNUMBER($H62)),IF($H62&lt;=$R62,$I62,IF(AND(ISNUMBER($G62),ISNUMBER($F62)),IF($F62&lt;=$R62,$G62,$E62),$E62)),IF(AND(ISNUMBER($G62),ISNUMBER($F62)),IF($F62&lt;=$R62,$G62,$E62),$E62))*(1+IF($J62="Y",0,Assumptions!$B$3)),"")</f>
        <v>0.0671</v>
      </c>
      <c r="V62" s="7" t="n">
        <f aca="false">IF(ISNUMBER($E62),IF(AND(ISNUMBER($I62),ISNUMBER($H62)),IF($H62&lt;=$S62,$I62,IF(AND(ISNUMBER($G62),ISNUMBER($F62)),IF($F62&lt;=$S62,$G62,$E62),$E62)),IF(AND(ISNUMBER($G62),ISNUMBER($F62)),IF($F62&lt;=$S62,$G62,$E62),$E62))*(1+IF($J62="Y",0,Assumptions!$B$3)),"")</f>
        <v>0.044</v>
      </c>
      <c r="W62" s="7" t="n">
        <f aca="false">IF(ISNUMBER($T62),$Q62*$T62/Assumptions!$B$4,"")</f>
        <v>0.0671</v>
      </c>
      <c r="X62" s="7" t="n">
        <f aca="false">IF(ISNUMBER($U62),$R62*$U62/Assumptions!$B$5,"")</f>
        <v>0.0671</v>
      </c>
      <c r="Y62" s="7" t="n">
        <f aca="false">IF(ISNUMBER($V62),$S62*$V62/Assumptions!$B$6,"")</f>
        <v>0.044</v>
      </c>
      <c r="Z62" s="8" t="str">
        <f aca="false">$A62&amp;"|"&amp;IF(ISNUMBER($W62),TEXT($W62,"0.0000"),"x")&amp;"|"&amp;$L62</f>
        <v>R100k|0.0671|Y</v>
      </c>
      <c r="AA62" s="8" t="str">
        <f aca="false">$A62&amp;"|"&amp;IF(ISNUMBER($Y62),TEXT($Y62,"0.0000"),"x")&amp;"|"&amp;$L62</f>
        <v>R100k|0.0440|Y</v>
      </c>
    </row>
    <row r="63" customFormat="false" ht="15" hidden="false" customHeight="false" outlineLevel="0" collapsed="false">
      <c r="A63" s="8" t="s">
        <v>160</v>
      </c>
      <c r="B63" s="8" t="s">
        <v>261</v>
      </c>
      <c r="C63" s="8" t="s">
        <v>487</v>
      </c>
      <c r="D63" s="12" t="n">
        <v>1</v>
      </c>
      <c r="E63" s="14" t="n">
        <v>0.16</v>
      </c>
      <c r="F63" s="12" t="n">
        <v>10</v>
      </c>
      <c r="G63" s="14" t="n">
        <v>0.064</v>
      </c>
      <c r="H63" s="12" t="n">
        <v>100</v>
      </c>
      <c r="I63" s="14" t="n">
        <v>0.042</v>
      </c>
      <c r="J63" s="12" t="s">
        <v>263</v>
      </c>
      <c r="K63" s="8" t="s">
        <v>488</v>
      </c>
      <c r="L63" s="12" t="s">
        <v>265</v>
      </c>
      <c r="M63" s="8" t="s">
        <v>266</v>
      </c>
      <c r="N63" s="15" t="s">
        <v>489</v>
      </c>
      <c r="O63" s="8" t="s">
        <v>490</v>
      </c>
      <c r="P63" s="8" t="n">
        <f aca="false">IFERROR(VLOOKUP($A63,BOM!$A$2:$E$54,5,0),0)</f>
        <v>10</v>
      </c>
      <c r="Q63" s="8" t="n">
        <f aca="false">CEILING($P63*Assumptions!$B$4/$D63,1)</f>
        <v>10</v>
      </c>
      <c r="R63" s="8" t="n">
        <f aca="false">CEILING($P63*Assumptions!$B$5/$D63,1)</f>
        <v>100</v>
      </c>
      <c r="S63" s="8" t="n">
        <f aca="false">CEILING($P63*Assumptions!$B$6/$D63,1)</f>
        <v>1000</v>
      </c>
      <c r="T63" s="7" t="n">
        <f aca="false">IF(ISNUMBER($E63),IF(AND(ISNUMBER($I63),ISNUMBER($H63)),IF($H63&lt;=$Q63,$I63,IF(AND(ISNUMBER($G63),ISNUMBER($F63)),IF($F63&lt;=$Q63,$G63,$E63),$E63)),IF(AND(ISNUMBER($G63),ISNUMBER($F63)),IF($F63&lt;=$Q63,$G63,$E63),$E63))*(1+IF($J63="Y",0,Assumptions!$B$3)),"")</f>
        <v>0.0704</v>
      </c>
      <c r="U63" s="7" t="n">
        <f aca="false">IF(ISNUMBER($E63),IF(AND(ISNUMBER($I63),ISNUMBER($H63)),IF($H63&lt;=$R63,$I63,IF(AND(ISNUMBER($G63),ISNUMBER($F63)),IF($F63&lt;=$R63,$G63,$E63),$E63)),IF(AND(ISNUMBER($G63),ISNUMBER($F63)),IF($F63&lt;=$R63,$G63,$E63),$E63))*(1+IF($J63="Y",0,Assumptions!$B$3)),"")</f>
        <v>0.0462</v>
      </c>
      <c r="V63" s="7" t="n">
        <f aca="false">IF(ISNUMBER($E63),IF(AND(ISNUMBER($I63),ISNUMBER($H63)),IF($H63&lt;=$S63,$I63,IF(AND(ISNUMBER($G63),ISNUMBER($F63)),IF($F63&lt;=$S63,$G63,$E63),$E63)),IF(AND(ISNUMBER($G63),ISNUMBER($F63)),IF($F63&lt;=$S63,$G63,$E63),$E63))*(1+IF($J63="Y",0,Assumptions!$B$3)),"")</f>
        <v>0.0462</v>
      </c>
      <c r="W63" s="7" t="n">
        <f aca="false">IF(ISNUMBER($T63),$Q63*$T63/Assumptions!$B$4,"")</f>
        <v>0.704</v>
      </c>
      <c r="X63" s="7" t="n">
        <f aca="false">IF(ISNUMBER($U63),$R63*$U63/Assumptions!$B$5,"")</f>
        <v>0.462</v>
      </c>
      <c r="Y63" s="7" t="n">
        <f aca="false">IF(ISNUMBER($V63),$S63*$V63/Assumptions!$B$6,"")</f>
        <v>0.462</v>
      </c>
      <c r="Z63" s="8" t="str">
        <f aca="false">$A63&amp;"|"&amp;IF(ISNUMBER($W63),TEXT($W63,"0.0000"),"x")&amp;"|"&amp;$L63</f>
        <v>R470|0.7040|Y</v>
      </c>
      <c r="AA63" s="8" t="str">
        <f aca="false">$A63&amp;"|"&amp;IF(ISNUMBER($Y63),TEXT($Y63,"0.0000"),"x")&amp;"|"&amp;$L63</f>
        <v>R470|0.4620|Y</v>
      </c>
    </row>
    <row r="64" customFormat="false" ht="15" hidden="false" customHeight="false" outlineLevel="0" collapsed="false">
      <c r="A64" s="8" t="s">
        <v>160</v>
      </c>
      <c r="B64" s="8" t="s">
        <v>292</v>
      </c>
      <c r="C64" s="8" t="s">
        <v>491</v>
      </c>
      <c r="D64" s="12" t="n">
        <v>1</v>
      </c>
      <c r="E64" s="14" t="n">
        <v>0.147</v>
      </c>
      <c r="F64" s="12" t="n">
        <v>25</v>
      </c>
      <c r="G64" s="14" t="n">
        <v>0.048</v>
      </c>
      <c r="H64" s="12" t="n">
        <v>100</v>
      </c>
      <c r="I64" s="14" t="n">
        <v>0.042</v>
      </c>
      <c r="J64" s="12" t="s">
        <v>263</v>
      </c>
      <c r="K64" s="8" t="s">
        <v>469</v>
      </c>
      <c r="L64" s="12" t="s">
        <v>265</v>
      </c>
      <c r="M64" s="8" t="s">
        <v>266</v>
      </c>
      <c r="N64" s="15" t="s">
        <v>492</v>
      </c>
      <c r="O64" s="8" t="s">
        <v>493</v>
      </c>
      <c r="P64" s="8" t="n">
        <f aca="false">IFERROR(VLOOKUP($A64,BOM!$A$2:$E$54,5,0),0)</f>
        <v>10</v>
      </c>
      <c r="Q64" s="8" t="n">
        <f aca="false">CEILING($P64*Assumptions!$B$4/$D64,1)</f>
        <v>10</v>
      </c>
      <c r="R64" s="8" t="n">
        <f aca="false">CEILING($P64*Assumptions!$B$5/$D64,1)</f>
        <v>100</v>
      </c>
      <c r="S64" s="8" t="n">
        <f aca="false">CEILING($P64*Assumptions!$B$6/$D64,1)</f>
        <v>1000</v>
      </c>
      <c r="T64" s="7" t="n">
        <f aca="false">IF(ISNUMBER($E64),IF(AND(ISNUMBER($I64),ISNUMBER($H64)),IF($H64&lt;=$Q64,$I64,IF(AND(ISNUMBER($G64),ISNUMBER($F64)),IF($F64&lt;=$Q64,$G64,$E64),$E64)),IF(AND(ISNUMBER($G64),ISNUMBER($F64)),IF($F64&lt;=$Q64,$G64,$E64),$E64))*(1+IF($J64="Y",0,Assumptions!$B$3)),"")</f>
        <v>0.1617</v>
      </c>
      <c r="U64" s="7" t="n">
        <f aca="false">IF(ISNUMBER($E64),IF(AND(ISNUMBER($I64),ISNUMBER($H64)),IF($H64&lt;=$R64,$I64,IF(AND(ISNUMBER($G64),ISNUMBER($F64)),IF($F64&lt;=$R64,$G64,$E64),$E64)),IF(AND(ISNUMBER($G64),ISNUMBER($F64)),IF($F64&lt;=$R64,$G64,$E64),$E64))*(1+IF($J64="Y",0,Assumptions!$B$3)),"")</f>
        <v>0.0462</v>
      </c>
      <c r="V64" s="7" t="n">
        <f aca="false">IF(ISNUMBER($E64),IF(AND(ISNUMBER($I64),ISNUMBER($H64)),IF($H64&lt;=$S64,$I64,IF(AND(ISNUMBER($G64),ISNUMBER($F64)),IF($F64&lt;=$S64,$G64,$E64),$E64)),IF(AND(ISNUMBER($G64),ISNUMBER($F64)),IF($F64&lt;=$S64,$G64,$E64),$E64))*(1+IF($J64="Y",0,Assumptions!$B$3)),"")</f>
        <v>0.0462</v>
      </c>
      <c r="W64" s="7" t="n">
        <f aca="false">IF(ISNUMBER($T64),$Q64*$T64/Assumptions!$B$4,"")</f>
        <v>1.617</v>
      </c>
      <c r="X64" s="7" t="n">
        <f aca="false">IF(ISNUMBER($U64),$R64*$U64/Assumptions!$B$5,"")</f>
        <v>0.462</v>
      </c>
      <c r="Y64" s="7" t="n">
        <f aca="false">IF(ISNUMBER($V64),$S64*$V64/Assumptions!$B$6,"")</f>
        <v>0.462</v>
      </c>
      <c r="Z64" s="8" t="str">
        <f aca="false">$A64&amp;"|"&amp;IF(ISNUMBER($W64),TEXT($W64,"0.0000"),"x")&amp;"|"&amp;$L64</f>
        <v>R470|1.6170|Y</v>
      </c>
      <c r="AA64" s="8" t="str">
        <f aca="false">$A64&amp;"|"&amp;IF(ISNUMBER($Y64),TEXT($Y64,"0.0000"),"x")&amp;"|"&amp;$L64</f>
        <v>R470|0.4620|Y</v>
      </c>
    </row>
    <row r="65" customFormat="false" ht="15" hidden="false" customHeight="false" outlineLevel="0" collapsed="false">
      <c r="A65" s="8" t="s">
        <v>162</v>
      </c>
      <c r="B65" s="8" t="s">
        <v>261</v>
      </c>
      <c r="C65" s="8" t="s">
        <v>494</v>
      </c>
      <c r="D65" s="12" t="n">
        <v>1</v>
      </c>
      <c r="E65" s="14" t="n">
        <v>0.566</v>
      </c>
      <c r="F65" s="12" t="n">
        <v>10</v>
      </c>
      <c r="G65" s="14" t="n">
        <v>0.361</v>
      </c>
      <c r="H65" s="12" t="n">
        <v>100</v>
      </c>
      <c r="I65" s="14" t="n">
        <v>0.209</v>
      </c>
      <c r="J65" s="12" t="s">
        <v>263</v>
      </c>
      <c r="K65" s="8" t="s">
        <v>495</v>
      </c>
      <c r="L65" s="12" t="s">
        <v>265</v>
      </c>
      <c r="M65" s="8" t="s">
        <v>266</v>
      </c>
      <c r="N65" s="15" t="s">
        <v>496</v>
      </c>
      <c r="O65" s="8" t="s">
        <v>497</v>
      </c>
      <c r="P65" s="8" t="n">
        <f aca="false">IFERROR(VLOOKUP($A65,BOM!$A$2:$E$54,5,0),0)</f>
        <v>4</v>
      </c>
      <c r="Q65" s="8" t="n">
        <f aca="false">CEILING($P65*Assumptions!$B$4/$D65,1)</f>
        <v>4</v>
      </c>
      <c r="R65" s="8" t="n">
        <f aca="false">CEILING($P65*Assumptions!$B$5/$D65,1)</f>
        <v>40</v>
      </c>
      <c r="S65" s="8" t="n">
        <f aca="false">CEILING($P65*Assumptions!$B$6/$D65,1)</f>
        <v>400</v>
      </c>
      <c r="T65" s="7" t="n">
        <f aca="false">IF(ISNUMBER($E65),IF(AND(ISNUMBER($I65),ISNUMBER($H65)),IF($H65&lt;=$Q65,$I65,IF(AND(ISNUMBER($G65),ISNUMBER($F65)),IF($F65&lt;=$Q65,$G65,$E65),$E65)),IF(AND(ISNUMBER($G65),ISNUMBER($F65)),IF($F65&lt;=$Q65,$G65,$E65),$E65))*(1+IF($J65="Y",0,Assumptions!$B$3)),"")</f>
        <v>0.6226</v>
      </c>
      <c r="U65" s="7" t="n">
        <f aca="false">IF(ISNUMBER($E65),IF(AND(ISNUMBER($I65),ISNUMBER($H65)),IF($H65&lt;=$R65,$I65,IF(AND(ISNUMBER($G65),ISNUMBER($F65)),IF($F65&lt;=$R65,$G65,$E65),$E65)),IF(AND(ISNUMBER($G65),ISNUMBER($F65)),IF($F65&lt;=$R65,$G65,$E65),$E65))*(1+IF($J65="Y",0,Assumptions!$B$3)),"")</f>
        <v>0.3971</v>
      </c>
      <c r="V65" s="7" t="n">
        <f aca="false">IF(ISNUMBER($E65),IF(AND(ISNUMBER($I65),ISNUMBER($H65)),IF($H65&lt;=$S65,$I65,IF(AND(ISNUMBER($G65),ISNUMBER($F65)),IF($F65&lt;=$S65,$G65,$E65),$E65)),IF(AND(ISNUMBER($G65),ISNUMBER($F65)),IF($F65&lt;=$S65,$G65,$E65),$E65))*(1+IF($J65="Y",0,Assumptions!$B$3)),"")</f>
        <v>0.2299</v>
      </c>
      <c r="W65" s="7" t="n">
        <f aca="false">IF(ISNUMBER($T65),$Q65*$T65/Assumptions!$B$4,"")</f>
        <v>2.4904</v>
      </c>
      <c r="X65" s="7" t="n">
        <f aca="false">IF(ISNUMBER($U65),$R65*$U65/Assumptions!$B$5,"")</f>
        <v>1.5884</v>
      </c>
      <c r="Y65" s="7" t="n">
        <f aca="false">IF(ISNUMBER($V65),$S65*$V65/Assumptions!$B$6,"")</f>
        <v>0.9196</v>
      </c>
      <c r="Z65" s="8" t="str">
        <f aca="false">$A65&amp;"|"&amp;IF(ISNUMBER($W65),TEXT($W65,"0.0000"),"x")&amp;"|"&amp;$L65</f>
        <v>RN8|2.4904|Y</v>
      </c>
      <c r="AA65" s="8" t="str">
        <f aca="false">$A65&amp;"|"&amp;IF(ISNUMBER($Y65),TEXT($Y65,"0.0000"),"x")&amp;"|"&amp;$L65</f>
        <v>RN8|0.9196|Y</v>
      </c>
    </row>
    <row r="66" customFormat="false" ht="15" hidden="false" customHeight="false" outlineLevel="0" collapsed="false">
      <c r="A66" s="8" t="s">
        <v>162</v>
      </c>
      <c r="B66" s="8" t="s">
        <v>292</v>
      </c>
      <c r="C66" s="8" t="s">
        <v>498</v>
      </c>
      <c r="D66" s="12" t="n">
        <v>1</v>
      </c>
      <c r="E66" s="14" t="n">
        <v>0.566</v>
      </c>
      <c r="F66" s="12" t="n">
        <v>50</v>
      </c>
      <c r="G66" s="14" t="n">
        <v>0.272</v>
      </c>
      <c r="H66" s="12" t="n">
        <v>100</v>
      </c>
      <c r="I66" s="14" t="n">
        <v>0.205</v>
      </c>
      <c r="J66" s="12" t="s">
        <v>263</v>
      </c>
      <c r="K66" s="8" t="s">
        <v>499</v>
      </c>
      <c r="L66" s="12" t="s">
        <v>265</v>
      </c>
      <c r="M66" s="8" t="s">
        <v>266</v>
      </c>
      <c r="N66" s="15" t="s">
        <v>500</v>
      </c>
      <c r="O66" s="8" t="s">
        <v>501</v>
      </c>
      <c r="P66" s="8" t="n">
        <f aca="false">IFERROR(VLOOKUP($A66,BOM!$A$2:$E$54,5,0),0)</f>
        <v>4</v>
      </c>
      <c r="Q66" s="8" t="n">
        <f aca="false">CEILING($P66*Assumptions!$B$4/$D66,1)</f>
        <v>4</v>
      </c>
      <c r="R66" s="8" t="n">
        <f aca="false">CEILING($P66*Assumptions!$B$5/$D66,1)</f>
        <v>40</v>
      </c>
      <c r="S66" s="8" t="n">
        <f aca="false">CEILING($P66*Assumptions!$B$6/$D66,1)</f>
        <v>400</v>
      </c>
      <c r="T66" s="7" t="n">
        <f aca="false">IF(ISNUMBER($E66),IF(AND(ISNUMBER($I66),ISNUMBER($H66)),IF($H66&lt;=$Q66,$I66,IF(AND(ISNUMBER($G66),ISNUMBER($F66)),IF($F66&lt;=$Q66,$G66,$E66),$E66)),IF(AND(ISNUMBER($G66),ISNUMBER($F66)),IF($F66&lt;=$Q66,$G66,$E66),$E66))*(1+IF($J66="Y",0,Assumptions!$B$3)),"")</f>
        <v>0.6226</v>
      </c>
      <c r="U66" s="7" t="n">
        <f aca="false">IF(ISNUMBER($E66),IF(AND(ISNUMBER($I66),ISNUMBER($H66)),IF($H66&lt;=$R66,$I66,IF(AND(ISNUMBER($G66),ISNUMBER($F66)),IF($F66&lt;=$R66,$G66,$E66),$E66)),IF(AND(ISNUMBER($G66),ISNUMBER($F66)),IF($F66&lt;=$R66,$G66,$E66),$E66))*(1+IF($J66="Y",0,Assumptions!$B$3)),"")</f>
        <v>0.6226</v>
      </c>
      <c r="V66" s="7" t="n">
        <f aca="false">IF(ISNUMBER($E66),IF(AND(ISNUMBER($I66),ISNUMBER($H66)),IF($H66&lt;=$S66,$I66,IF(AND(ISNUMBER($G66),ISNUMBER($F66)),IF($F66&lt;=$S66,$G66,$E66),$E66)),IF(AND(ISNUMBER($G66),ISNUMBER($F66)),IF($F66&lt;=$S66,$G66,$E66),$E66))*(1+IF($J66="Y",0,Assumptions!$B$3)),"")</f>
        <v>0.2255</v>
      </c>
      <c r="W66" s="7" t="n">
        <f aca="false">IF(ISNUMBER($T66),$Q66*$T66/Assumptions!$B$4,"")</f>
        <v>2.4904</v>
      </c>
      <c r="X66" s="7" t="n">
        <f aca="false">IF(ISNUMBER($U66),$R66*$U66/Assumptions!$B$5,"")</f>
        <v>2.4904</v>
      </c>
      <c r="Y66" s="7" t="n">
        <f aca="false">IF(ISNUMBER($V66),$S66*$V66/Assumptions!$B$6,"")</f>
        <v>0.902</v>
      </c>
      <c r="Z66" s="8" t="str">
        <f aca="false">$A66&amp;"|"&amp;IF(ISNUMBER($W66),TEXT($W66,"0.0000"),"x")&amp;"|"&amp;$L66</f>
        <v>RN8|2.4904|Y</v>
      </c>
      <c r="AA66" s="8" t="str">
        <f aca="false">$A66&amp;"|"&amp;IF(ISNUMBER($Y66),TEXT($Y66,"0.0000"),"x")&amp;"|"&amp;$L66</f>
        <v>RN8|0.9020|Y</v>
      </c>
    </row>
    <row r="67" customFormat="false" ht="15" hidden="false" customHeight="false" outlineLevel="0" collapsed="false">
      <c r="A67" s="8" t="s">
        <v>165</v>
      </c>
      <c r="B67" s="8" t="s">
        <v>261</v>
      </c>
      <c r="C67" s="8" t="s">
        <v>502</v>
      </c>
      <c r="D67" s="12" t="n">
        <v>1</v>
      </c>
      <c r="E67" s="14" t="n">
        <v>0.493</v>
      </c>
      <c r="F67" s="12" t="n">
        <v>10</v>
      </c>
      <c r="G67" s="14" t="n">
        <v>0.307</v>
      </c>
      <c r="H67" s="12" t="n">
        <v>100</v>
      </c>
      <c r="I67" s="14" t="n">
        <v>0.197</v>
      </c>
      <c r="J67" s="12" t="s">
        <v>263</v>
      </c>
      <c r="K67" s="8" t="s">
        <v>503</v>
      </c>
      <c r="L67" s="12" t="s">
        <v>265</v>
      </c>
      <c r="M67" s="8" t="s">
        <v>266</v>
      </c>
      <c r="N67" s="15" t="s">
        <v>504</v>
      </c>
      <c r="O67" s="8" t="s">
        <v>505</v>
      </c>
      <c r="P67" s="8" t="n">
        <f aca="false">IFERROR(VLOOKUP($A67,BOM!$A$2:$E$54,5,0),0)</f>
        <v>1</v>
      </c>
      <c r="Q67" s="8" t="n">
        <f aca="false">CEILING($P67*Assumptions!$B$4/$D67,1)</f>
        <v>1</v>
      </c>
      <c r="R67" s="8" t="n">
        <f aca="false">CEILING($P67*Assumptions!$B$5/$D67,1)</f>
        <v>10</v>
      </c>
      <c r="S67" s="8" t="n">
        <f aca="false">CEILING($P67*Assumptions!$B$6/$D67,1)</f>
        <v>100</v>
      </c>
      <c r="T67" s="7" t="n">
        <f aca="false">IF(ISNUMBER($E67),IF(AND(ISNUMBER($I67),ISNUMBER($H67)),IF($H67&lt;=$Q67,$I67,IF(AND(ISNUMBER($G67),ISNUMBER($F67)),IF($F67&lt;=$Q67,$G67,$E67),$E67)),IF(AND(ISNUMBER($G67),ISNUMBER($F67)),IF($F67&lt;=$Q67,$G67,$E67),$E67))*(1+IF($J67="Y",0,Assumptions!$B$3)),"")</f>
        <v>0.5423</v>
      </c>
      <c r="U67" s="7" t="n">
        <f aca="false">IF(ISNUMBER($E67),IF(AND(ISNUMBER($I67),ISNUMBER($H67)),IF($H67&lt;=$R67,$I67,IF(AND(ISNUMBER($G67),ISNUMBER($F67)),IF($F67&lt;=$R67,$G67,$E67),$E67)),IF(AND(ISNUMBER($G67),ISNUMBER($F67)),IF($F67&lt;=$R67,$G67,$E67),$E67))*(1+IF($J67="Y",0,Assumptions!$B$3)),"")</f>
        <v>0.3377</v>
      </c>
      <c r="V67" s="7" t="n">
        <f aca="false">IF(ISNUMBER($E67),IF(AND(ISNUMBER($I67),ISNUMBER($H67)),IF($H67&lt;=$S67,$I67,IF(AND(ISNUMBER($G67),ISNUMBER($F67)),IF($F67&lt;=$S67,$G67,$E67),$E67)),IF(AND(ISNUMBER($G67),ISNUMBER($F67)),IF($F67&lt;=$S67,$G67,$E67),$E67))*(1+IF($J67="Y",0,Assumptions!$B$3)),"")</f>
        <v>0.2167</v>
      </c>
      <c r="W67" s="7" t="n">
        <f aca="false">IF(ISNUMBER($T67),$Q67*$T67/Assumptions!$B$4,"")</f>
        <v>0.5423</v>
      </c>
      <c r="X67" s="7" t="n">
        <f aca="false">IF(ISNUMBER($U67),$R67*$U67/Assumptions!$B$5,"")</f>
        <v>0.3377</v>
      </c>
      <c r="Y67" s="7" t="n">
        <f aca="false">IF(ISNUMBER($V67),$S67*$V67/Assumptions!$B$6,"")</f>
        <v>0.2167</v>
      </c>
      <c r="Z67" s="8" t="str">
        <f aca="false">$A67&amp;"|"&amp;IF(ISNUMBER($W67),TEXT($W67,"0.0000"),"x")&amp;"|"&amp;$L67</f>
        <v>RN4|0.5423|Y</v>
      </c>
      <c r="AA67" s="8" t="str">
        <f aca="false">$A67&amp;"|"&amp;IF(ISNUMBER($Y67),TEXT($Y67,"0.0000"),"x")&amp;"|"&amp;$L67</f>
        <v>RN4|0.2167|Y</v>
      </c>
    </row>
    <row r="68" customFormat="false" ht="15" hidden="false" customHeight="false" outlineLevel="0" collapsed="false">
      <c r="A68" s="8" t="s">
        <v>165</v>
      </c>
      <c r="B68" s="8" t="s">
        <v>292</v>
      </c>
      <c r="C68" s="8" t="s">
        <v>506</v>
      </c>
      <c r="D68" s="12" t="n">
        <v>1</v>
      </c>
      <c r="E68" s="14" t="n">
        <v>0.407</v>
      </c>
      <c r="F68" s="12" t="n">
        <v>50</v>
      </c>
      <c r="G68" s="14" t="n">
        <v>0.192</v>
      </c>
      <c r="H68" s="12" t="n">
        <v>100</v>
      </c>
      <c r="I68" s="14" t="n">
        <v>0.153</v>
      </c>
      <c r="J68" s="12" t="s">
        <v>263</v>
      </c>
      <c r="K68" s="8" t="s">
        <v>507</v>
      </c>
      <c r="L68" s="12" t="s">
        <v>265</v>
      </c>
      <c r="M68" s="8" t="s">
        <v>266</v>
      </c>
      <c r="N68" s="15" t="s">
        <v>508</v>
      </c>
      <c r="O68" s="8" t="s">
        <v>509</v>
      </c>
      <c r="P68" s="8" t="n">
        <f aca="false">IFERROR(VLOOKUP($A68,BOM!$A$2:$E$54,5,0),0)</f>
        <v>1</v>
      </c>
      <c r="Q68" s="8" t="n">
        <f aca="false">CEILING($P68*Assumptions!$B$4/$D68,1)</f>
        <v>1</v>
      </c>
      <c r="R68" s="8" t="n">
        <f aca="false">CEILING($P68*Assumptions!$B$5/$D68,1)</f>
        <v>10</v>
      </c>
      <c r="S68" s="8" t="n">
        <f aca="false">CEILING($P68*Assumptions!$B$6/$D68,1)</f>
        <v>100</v>
      </c>
      <c r="T68" s="7" t="n">
        <f aca="false">IF(ISNUMBER($E68),IF(AND(ISNUMBER($I68),ISNUMBER($H68)),IF($H68&lt;=$Q68,$I68,IF(AND(ISNUMBER($G68),ISNUMBER($F68)),IF($F68&lt;=$Q68,$G68,$E68),$E68)),IF(AND(ISNUMBER($G68),ISNUMBER($F68)),IF($F68&lt;=$Q68,$G68,$E68),$E68))*(1+IF($J68="Y",0,Assumptions!$B$3)),"")</f>
        <v>0.4477</v>
      </c>
      <c r="U68" s="7" t="n">
        <f aca="false">IF(ISNUMBER($E68),IF(AND(ISNUMBER($I68),ISNUMBER($H68)),IF($H68&lt;=$R68,$I68,IF(AND(ISNUMBER($G68),ISNUMBER($F68)),IF($F68&lt;=$R68,$G68,$E68),$E68)),IF(AND(ISNUMBER($G68),ISNUMBER($F68)),IF($F68&lt;=$R68,$G68,$E68),$E68))*(1+IF($J68="Y",0,Assumptions!$B$3)),"")</f>
        <v>0.4477</v>
      </c>
      <c r="V68" s="7" t="n">
        <f aca="false">IF(ISNUMBER($E68),IF(AND(ISNUMBER($I68),ISNUMBER($H68)),IF($H68&lt;=$S68,$I68,IF(AND(ISNUMBER($G68),ISNUMBER($F68)),IF($F68&lt;=$S68,$G68,$E68),$E68)),IF(AND(ISNUMBER($G68),ISNUMBER($F68)),IF($F68&lt;=$S68,$G68,$E68),$E68))*(1+IF($J68="Y",0,Assumptions!$B$3)),"")</f>
        <v>0.1683</v>
      </c>
      <c r="W68" s="7" t="n">
        <f aca="false">IF(ISNUMBER($T68),$Q68*$T68/Assumptions!$B$4,"")</f>
        <v>0.4477</v>
      </c>
      <c r="X68" s="7" t="n">
        <f aca="false">IF(ISNUMBER($U68),$R68*$U68/Assumptions!$B$5,"")</f>
        <v>0.4477</v>
      </c>
      <c r="Y68" s="7" t="n">
        <f aca="false">IF(ISNUMBER($V68),$S68*$V68/Assumptions!$B$6,"")</f>
        <v>0.1683</v>
      </c>
      <c r="Z68" s="8" t="str">
        <f aca="false">$A68&amp;"|"&amp;IF(ISNUMBER($W68),TEXT($W68,"0.0000"),"x")&amp;"|"&amp;$L68</f>
        <v>RN4|0.4477|Y</v>
      </c>
      <c r="AA68" s="8" t="str">
        <f aca="false">$A68&amp;"|"&amp;IF(ISNUMBER($Y68),TEXT($Y68,"0.0000"),"x")&amp;"|"&amp;$L68</f>
        <v>RN4|0.1683|Y</v>
      </c>
    </row>
    <row r="69" customFormat="false" ht="15" hidden="false" customHeight="false" outlineLevel="0" collapsed="false">
      <c r="A69" s="8" t="s">
        <v>168</v>
      </c>
      <c r="B69" s="8" t="s">
        <v>284</v>
      </c>
      <c r="C69" s="8" t="s">
        <v>510</v>
      </c>
      <c r="D69" s="12" t="n">
        <v>1</v>
      </c>
      <c r="E69" s="14" t="n">
        <v>0.36</v>
      </c>
      <c r="F69" s="12" t="n">
        <v>10</v>
      </c>
      <c r="G69" s="14" t="n">
        <v>0.35</v>
      </c>
      <c r="H69" s="12" t="n">
        <v>25</v>
      </c>
      <c r="I69" s="14" t="n">
        <v>0.34</v>
      </c>
      <c r="J69" s="12" t="s">
        <v>263</v>
      </c>
      <c r="K69" s="8" t="s">
        <v>511</v>
      </c>
      <c r="L69" s="12" t="s">
        <v>265</v>
      </c>
      <c r="M69" s="8" t="s">
        <v>35</v>
      </c>
      <c r="N69" s="15" t="s">
        <v>512</v>
      </c>
      <c r="O69" s="8" t="s">
        <v>513</v>
      </c>
      <c r="P69" s="8" t="n">
        <f aca="false">IFERROR(VLOOKUP($A69,BOM!$A$2:$E$54,5,0),0)</f>
        <v>60</v>
      </c>
      <c r="Q69" s="8" t="n">
        <f aca="false">CEILING($P69*Assumptions!$B$4/$D69,1)</f>
        <v>60</v>
      </c>
      <c r="R69" s="8" t="n">
        <f aca="false">CEILING($P69*Assumptions!$B$5/$D69,1)</f>
        <v>600</v>
      </c>
      <c r="S69" s="8" t="n">
        <f aca="false">CEILING($P69*Assumptions!$B$6/$D69,1)</f>
        <v>6000</v>
      </c>
      <c r="T69" s="7" t="n">
        <f aca="false">IF(ISNUMBER($E69),IF(AND(ISNUMBER($I69),ISNUMBER($H69)),IF($H69&lt;=$Q69,$I69,IF(AND(ISNUMBER($G69),ISNUMBER($F69)),IF($F69&lt;=$Q69,$G69,$E69),$E69)),IF(AND(ISNUMBER($G69),ISNUMBER($F69)),IF($F69&lt;=$Q69,$G69,$E69),$E69))*(1+IF($J69="Y",0,Assumptions!$B$3)),"")</f>
        <v>0.374</v>
      </c>
      <c r="U69" s="7" t="n">
        <f aca="false">IF(ISNUMBER($E69),IF(AND(ISNUMBER($I69),ISNUMBER($H69)),IF($H69&lt;=$R69,$I69,IF(AND(ISNUMBER($G69),ISNUMBER($F69)),IF($F69&lt;=$R69,$G69,$E69),$E69)),IF(AND(ISNUMBER($G69),ISNUMBER($F69)),IF($F69&lt;=$R69,$G69,$E69),$E69))*(1+IF($J69="Y",0,Assumptions!$B$3)),"")</f>
        <v>0.374</v>
      </c>
      <c r="V69" s="7" t="n">
        <f aca="false">IF(ISNUMBER($E69),IF(AND(ISNUMBER($I69),ISNUMBER($H69)),IF($H69&lt;=$S69,$I69,IF(AND(ISNUMBER($G69),ISNUMBER($F69)),IF($F69&lt;=$S69,$G69,$E69),$E69)),IF(AND(ISNUMBER($G69),ISNUMBER($F69)),IF($F69&lt;=$S69,$G69,$E69),$E69))*(1+IF($J69="Y",0,Assumptions!$B$3)),"")</f>
        <v>0.374</v>
      </c>
      <c r="W69" s="7" t="n">
        <f aca="false">IF(ISNUMBER($T69),$Q69*$T69/Assumptions!$B$4,"")</f>
        <v>22.44</v>
      </c>
      <c r="X69" s="7" t="n">
        <f aca="false">IF(ISNUMBER($U69),$R69*$U69/Assumptions!$B$5,"")</f>
        <v>22.44</v>
      </c>
      <c r="Y69" s="7" t="n">
        <f aca="false">IF(ISNUMBER($V69),$S69*$V69/Assumptions!$B$6,"")</f>
        <v>22.44</v>
      </c>
      <c r="Z69" s="8" t="str">
        <f aca="false">$A69&amp;"|"&amp;IF(ISNUMBER($W69),TEXT($W69,"0.0000"),"x")&amp;"|"&amp;$L69</f>
        <v>C01|22.4400|Y</v>
      </c>
      <c r="AA69" s="8" t="str">
        <f aca="false">$A69&amp;"|"&amp;IF(ISNUMBER($Y69),TEXT($Y69,"0.0000"),"x")&amp;"|"&amp;$L69</f>
        <v>C01|22.4400|Y</v>
      </c>
    </row>
    <row r="70" customFormat="false" ht="15" hidden="false" customHeight="false" outlineLevel="0" collapsed="false">
      <c r="A70" s="8" t="s">
        <v>168</v>
      </c>
      <c r="B70" s="8" t="s">
        <v>514</v>
      </c>
      <c r="C70" s="8" t="s">
        <v>515</v>
      </c>
      <c r="D70" s="12" t="n">
        <v>100</v>
      </c>
      <c r="E70" s="14" t="n">
        <v>11.95</v>
      </c>
      <c r="F70" s="12" t="n">
        <v>25</v>
      </c>
      <c r="G70" s="14" t="n">
        <v>7.95</v>
      </c>
      <c r="H70" s="12" t="n">
        <v>100</v>
      </c>
      <c r="I70" s="14" t="n">
        <v>6.95</v>
      </c>
      <c r="J70" s="12" t="s">
        <v>265</v>
      </c>
      <c r="K70" s="8" t="s">
        <v>516</v>
      </c>
      <c r="L70" s="12" t="s">
        <v>265</v>
      </c>
      <c r="M70" s="8" t="s">
        <v>35</v>
      </c>
      <c r="N70" s="15" t="s">
        <v>517</v>
      </c>
      <c r="O70" s="8" t="s">
        <v>518</v>
      </c>
      <c r="P70" s="8" t="n">
        <f aca="false">IFERROR(VLOOKUP($A70,BOM!$A$2:$E$54,5,0),0)</f>
        <v>60</v>
      </c>
      <c r="Q70" s="8" t="n">
        <f aca="false">CEILING($P70*Assumptions!$B$4/$D70,1)</f>
        <v>1</v>
      </c>
      <c r="R70" s="8" t="n">
        <f aca="false">CEILING($P70*Assumptions!$B$5/$D70,1)</f>
        <v>6</v>
      </c>
      <c r="S70" s="8" t="n">
        <f aca="false">CEILING($P70*Assumptions!$B$6/$D70,1)</f>
        <v>60</v>
      </c>
      <c r="T70" s="7" t="n">
        <f aca="false">IF(ISNUMBER($E70),IF(AND(ISNUMBER($I70),ISNUMBER($H70)),IF($H70&lt;=$Q70,$I70,IF(AND(ISNUMBER($G70),ISNUMBER($F70)),IF($F70&lt;=$Q70,$G70,$E70),$E70)),IF(AND(ISNUMBER($G70),ISNUMBER($F70)),IF($F70&lt;=$Q70,$G70,$E70),$E70))*(1+IF($J70="Y",0,Assumptions!$B$3)),"")</f>
        <v>11.95</v>
      </c>
      <c r="U70" s="7" t="n">
        <f aca="false">IF(ISNUMBER($E70),IF(AND(ISNUMBER($I70),ISNUMBER($H70)),IF($H70&lt;=$R70,$I70,IF(AND(ISNUMBER($G70),ISNUMBER($F70)),IF($F70&lt;=$R70,$G70,$E70),$E70)),IF(AND(ISNUMBER($G70),ISNUMBER($F70)),IF($F70&lt;=$R70,$G70,$E70),$E70))*(1+IF($J70="Y",0,Assumptions!$B$3)),"")</f>
        <v>11.95</v>
      </c>
      <c r="V70" s="7" t="n">
        <f aca="false">IF(ISNUMBER($E70),IF(AND(ISNUMBER($I70),ISNUMBER($H70)),IF($H70&lt;=$S70,$I70,IF(AND(ISNUMBER($G70),ISNUMBER($F70)),IF($F70&lt;=$S70,$G70,$E70),$E70)),IF(AND(ISNUMBER($G70),ISNUMBER($F70)),IF($F70&lt;=$S70,$G70,$E70),$E70))*(1+IF($J70="Y",0,Assumptions!$B$3)),"")</f>
        <v>7.95</v>
      </c>
      <c r="W70" s="7" t="n">
        <f aca="false">IF(ISNUMBER($T70),$Q70*$T70/Assumptions!$B$4,"")</f>
        <v>11.95</v>
      </c>
      <c r="X70" s="7" t="n">
        <f aca="false">IF(ISNUMBER($U70),$R70*$U70/Assumptions!$B$5,"")</f>
        <v>7.17</v>
      </c>
      <c r="Y70" s="7" t="n">
        <f aca="false">IF(ISNUMBER($V70),$S70*$V70/Assumptions!$B$6,"")</f>
        <v>4.77</v>
      </c>
      <c r="Z70" s="8" t="str">
        <f aca="false">$A70&amp;"|"&amp;IF(ISNUMBER($W70),TEXT($W70,"0.0000"),"x")&amp;"|"&amp;$L70</f>
        <v>C01|11.9500|Y</v>
      </c>
      <c r="AA70" s="8" t="str">
        <f aca="false">$A70&amp;"|"&amp;IF(ISNUMBER($Y70),TEXT($Y70,"0.0000"),"x")&amp;"|"&amp;$L70</f>
        <v>C01|4.7700|Y</v>
      </c>
    </row>
    <row r="71" customFormat="false" ht="15" hidden="false" customHeight="false" outlineLevel="0" collapsed="false">
      <c r="A71" s="8" t="s">
        <v>172</v>
      </c>
      <c r="B71" s="8" t="s">
        <v>261</v>
      </c>
      <c r="C71" s="8" t="s">
        <v>519</v>
      </c>
      <c r="D71" s="12" t="n">
        <v>1</v>
      </c>
      <c r="E71" s="14" t="n">
        <v>0.319</v>
      </c>
      <c r="F71" s="12" t="n">
        <v>10</v>
      </c>
      <c r="G71" s="14" t="n">
        <v>0.148</v>
      </c>
      <c r="H71" s="12" t="n">
        <v>100</v>
      </c>
      <c r="I71" s="14" t="n">
        <v>0.131</v>
      </c>
      <c r="J71" s="12" t="s">
        <v>263</v>
      </c>
      <c r="K71" s="8" t="s">
        <v>520</v>
      </c>
      <c r="L71" s="12" t="s">
        <v>265</v>
      </c>
      <c r="M71" s="8" t="s">
        <v>266</v>
      </c>
      <c r="N71" s="15" t="s">
        <v>521</v>
      </c>
      <c r="O71" s="8" t="s">
        <v>522</v>
      </c>
      <c r="P71" s="8" t="n">
        <f aca="false">IFERROR(VLOOKUP($A71,BOM!$A$2:$E$54,5,0),0)</f>
        <v>5</v>
      </c>
      <c r="Q71" s="8" t="n">
        <f aca="false">CEILING($P71*Assumptions!$B$4/$D71,1)</f>
        <v>5</v>
      </c>
      <c r="R71" s="8" t="n">
        <f aca="false">CEILING($P71*Assumptions!$B$5/$D71,1)</f>
        <v>50</v>
      </c>
      <c r="S71" s="8" t="n">
        <f aca="false">CEILING($P71*Assumptions!$B$6/$D71,1)</f>
        <v>500</v>
      </c>
      <c r="T71" s="7" t="n">
        <f aca="false">IF(ISNUMBER($E71),IF(AND(ISNUMBER($I71),ISNUMBER($H71)),IF($H71&lt;=$Q71,$I71,IF(AND(ISNUMBER($G71),ISNUMBER($F71)),IF($F71&lt;=$Q71,$G71,$E71),$E71)),IF(AND(ISNUMBER($G71),ISNUMBER($F71)),IF($F71&lt;=$Q71,$G71,$E71),$E71))*(1+IF($J71="Y",0,Assumptions!$B$3)),"")</f>
        <v>0.3509</v>
      </c>
      <c r="U71" s="7" t="n">
        <f aca="false">IF(ISNUMBER($E71),IF(AND(ISNUMBER($I71),ISNUMBER($H71)),IF($H71&lt;=$R71,$I71,IF(AND(ISNUMBER($G71),ISNUMBER($F71)),IF($F71&lt;=$R71,$G71,$E71),$E71)),IF(AND(ISNUMBER($G71),ISNUMBER($F71)),IF($F71&lt;=$R71,$G71,$E71),$E71))*(1+IF($J71="Y",0,Assumptions!$B$3)),"")</f>
        <v>0.1628</v>
      </c>
      <c r="V71" s="7" t="n">
        <f aca="false">IF(ISNUMBER($E71),IF(AND(ISNUMBER($I71),ISNUMBER($H71)),IF($H71&lt;=$S71,$I71,IF(AND(ISNUMBER($G71),ISNUMBER($F71)),IF($F71&lt;=$S71,$G71,$E71),$E71)),IF(AND(ISNUMBER($G71),ISNUMBER($F71)),IF($F71&lt;=$S71,$G71,$E71),$E71))*(1+IF($J71="Y",0,Assumptions!$B$3)),"")</f>
        <v>0.1441</v>
      </c>
      <c r="W71" s="7" t="n">
        <f aca="false">IF(ISNUMBER($T71),$Q71*$T71/Assumptions!$B$4,"")</f>
        <v>1.7545</v>
      </c>
      <c r="X71" s="7" t="n">
        <f aca="false">IF(ISNUMBER($U71),$R71*$U71/Assumptions!$B$5,"")</f>
        <v>0.814</v>
      </c>
      <c r="Y71" s="7" t="n">
        <f aca="false">IF(ISNUMBER($V71),$S71*$V71/Assumptions!$B$6,"")</f>
        <v>0.7205</v>
      </c>
      <c r="Z71" s="8" t="str">
        <f aca="false">$A71&amp;"|"&amp;IF(ISNUMBER($W71),TEXT($W71,"0.0000"),"x")&amp;"|"&amp;$L71</f>
        <v>C10n|1.7545|Y</v>
      </c>
      <c r="AA71" s="8" t="str">
        <f aca="false">$A71&amp;"|"&amp;IF(ISNUMBER($Y71),TEXT($Y71,"0.0000"),"x")&amp;"|"&amp;$L71</f>
        <v>C10n|0.7205|Y</v>
      </c>
    </row>
    <row r="72" customFormat="false" ht="15" hidden="false" customHeight="false" outlineLevel="0" collapsed="false">
      <c r="A72" s="8" t="s">
        <v>172</v>
      </c>
      <c r="B72" s="8" t="s">
        <v>292</v>
      </c>
      <c r="C72" s="8" t="s">
        <v>523</v>
      </c>
      <c r="D72" s="12" t="n">
        <v>1</v>
      </c>
      <c r="E72" s="14" t="n">
        <v>0.237</v>
      </c>
      <c r="F72" s="12" t="n">
        <v>10</v>
      </c>
      <c r="G72" s="14" t="n">
        <v>0.237</v>
      </c>
      <c r="H72" s="12" t="n">
        <v>100</v>
      </c>
      <c r="I72" s="14" t="n">
        <v>0.151</v>
      </c>
      <c r="J72" s="12" t="s">
        <v>263</v>
      </c>
      <c r="K72" s="8" t="s">
        <v>524</v>
      </c>
      <c r="L72" s="12" t="s">
        <v>265</v>
      </c>
      <c r="M72" s="8" t="s">
        <v>266</v>
      </c>
      <c r="N72" s="15" t="s">
        <v>525</v>
      </c>
      <c r="O72" s="8" t="s">
        <v>526</v>
      </c>
      <c r="P72" s="8" t="n">
        <f aca="false">IFERROR(VLOOKUP($A72,BOM!$A$2:$E$54,5,0),0)</f>
        <v>5</v>
      </c>
      <c r="Q72" s="8" t="n">
        <f aca="false">CEILING($P72*Assumptions!$B$4/$D72,1)</f>
        <v>5</v>
      </c>
      <c r="R72" s="8" t="n">
        <f aca="false">CEILING($P72*Assumptions!$B$5/$D72,1)</f>
        <v>50</v>
      </c>
      <c r="S72" s="8" t="n">
        <f aca="false">CEILING($P72*Assumptions!$B$6/$D72,1)</f>
        <v>500</v>
      </c>
      <c r="T72" s="7" t="n">
        <f aca="false">IF(ISNUMBER($E72),IF(AND(ISNUMBER($I72),ISNUMBER($H72)),IF($H72&lt;=$Q72,$I72,IF(AND(ISNUMBER($G72),ISNUMBER($F72)),IF($F72&lt;=$Q72,$G72,$E72),$E72)),IF(AND(ISNUMBER($G72),ISNUMBER($F72)),IF($F72&lt;=$Q72,$G72,$E72),$E72))*(1+IF($J72="Y",0,Assumptions!$B$3)),"")</f>
        <v>0.2607</v>
      </c>
      <c r="U72" s="7" t="n">
        <f aca="false">IF(ISNUMBER($E72),IF(AND(ISNUMBER($I72),ISNUMBER($H72)),IF($H72&lt;=$R72,$I72,IF(AND(ISNUMBER($G72),ISNUMBER($F72)),IF($F72&lt;=$R72,$G72,$E72),$E72)),IF(AND(ISNUMBER($G72),ISNUMBER($F72)),IF($F72&lt;=$R72,$G72,$E72),$E72))*(1+IF($J72="Y",0,Assumptions!$B$3)),"")</f>
        <v>0.2607</v>
      </c>
      <c r="V72" s="7" t="n">
        <f aca="false">IF(ISNUMBER($E72),IF(AND(ISNUMBER($I72),ISNUMBER($H72)),IF($H72&lt;=$S72,$I72,IF(AND(ISNUMBER($G72),ISNUMBER($F72)),IF($F72&lt;=$S72,$G72,$E72),$E72)),IF(AND(ISNUMBER($G72),ISNUMBER($F72)),IF($F72&lt;=$S72,$G72,$E72),$E72))*(1+IF($J72="Y",0,Assumptions!$B$3)),"")</f>
        <v>0.1661</v>
      </c>
      <c r="W72" s="7" t="n">
        <f aca="false">IF(ISNUMBER($T72),$Q72*$T72/Assumptions!$B$4,"")</f>
        <v>1.3035</v>
      </c>
      <c r="X72" s="7" t="n">
        <f aca="false">IF(ISNUMBER($U72),$R72*$U72/Assumptions!$B$5,"")</f>
        <v>1.3035</v>
      </c>
      <c r="Y72" s="7" t="n">
        <f aca="false">IF(ISNUMBER($V72),$S72*$V72/Assumptions!$B$6,"")</f>
        <v>0.8305</v>
      </c>
      <c r="Z72" s="8" t="str">
        <f aca="false">$A72&amp;"|"&amp;IF(ISNUMBER($W72),TEXT($W72,"0.0000"),"x")&amp;"|"&amp;$L72</f>
        <v>C10n|1.3035|Y</v>
      </c>
      <c r="AA72" s="8" t="str">
        <f aca="false">$A72&amp;"|"&amp;IF(ISNUMBER($Y72),TEXT($Y72,"0.0000"),"x")&amp;"|"&amp;$L72</f>
        <v>C10n|0.8305|Y</v>
      </c>
    </row>
    <row r="73" customFormat="false" ht="15" hidden="false" customHeight="false" outlineLevel="0" collapsed="false">
      <c r="A73" s="8" t="s">
        <v>176</v>
      </c>
      <c r="B73" s="8" t="s">
        <v>284</v>
      </c>
      <c r="C73" s="8" t="s">
        <v>527</v>
      </c>
      <c r="D73" s="12" t="n">
        <v>1</v>
      </c>
      <c r="E73" s="14" t="n">
        <v>0.29</v>
      </c>
      <c r="F73" s="12" t="n">
        <v>10</v>
      </c>
      <c r="G73" s="14" t="n">
        <v>0.28</v>
      </c>
      <c r="H73" s="12" t="n">
        <v>25</v>
      </c>
      <c r="I73" s="14" t="n">
        <v>0.27</v>
      </c>
      <c r="J73" s="12" t="s">
        <v>263</v>
      </c>
      <c r="K73" s="8" t="s">
        <v>528</v>
      </c>
      <c r="L73" s="12" t="s">
        <v>265</v>
      </c>
      <c r="M73" s="8" t="s">
        <v>35</v>
      </c>
      <c r="N73" s="15" t="s">
        <v>529</v>
      </c>
      <c r="O73" s="8" t="s">
        <v>530</v>
      </c>
      <c r="P73" s="8" t="n">
        <f aca="false">IFERROR(VLOOKUP($A73,BOM!$A$2:$E$54,5,0),0)</f>
        <v>2</v>
      </c>
      <c r="Q73" s="8" t="n">
        <f aca="false">CEILING($P73*Assumptions!$B$4/$D73,1)</f>
        <v>2</v>
      </c>
      <c r="R73" s="8" t="n">
        <f aca="false">CEILING($P73*Assumptions!$B$5/$D73,1)</f>
        <v>20</v>
      </c>
      <c r="S73" s="8" t="n">
        <f aca="false">CEILING($P73*Assumptions!$B$6/$D73,1)</f>
        <v>200</v>
      </c>
      <c r="T73" s="7" t="n">
        <f aca="false">IF(ISNUMBER($E73),IF(AND(ISNUMBER($I73),ISNUMBER($H73)),IF($H73&lt;=$Q73,$I73,IF(AND(ISNUMBER($G73),ISNUMBER($F73)),IF($F73&lt;=$Q73,$G73,$E73),$E73)),IF(AND(ISNUMBER($G73),ISNUMBER($F73)),IF($F73&lt;=$Q73,$G73,$E73),$E73))*(1+IF($J73="Y",0,Assumptions!$B$3)),"")</f>
        <v>0.319</v>
      </c>
      <c r="U73" s="7" t="n">
        <f aca="false">IF(ISNUMBER($E73),IF(AND(ISNUMBER($I73),ISNUMBER($H73)),IF($H73&lt;=$R73,$I73,IF(AND(ISNUMBER($G73),ISNUMBER($F73)),IF($F73&lt;=$R73,$G73,$E73),$E73)),IF(AND(ISNUMBER($G73),ISNUMBER($F73)),IF($F73&lt;=$R73,$G73,$E73),$E73))*(1+IF($J73="Y",0,Assumptions!$B$3)),"")</f>
        <v>0.308</v>
      </c>
      <c r="V73" s="7" t="n">
        <f aca="false">IF(ISNUMBER($E73),IF(AND(ISNUMBER($I73),ISNUMBER($H73)),IF($H73&lt;=$S73,$I73,IF(AND(ISNUMBER($G73),ISNUMBER($F73)),IF($F73&lt;=$S73,$G73,$E73),$E73)),IF(AND(ISNUMBER($G73),ISNUMBER($F73)),IF($F73&lt;=$S73,$G73,$E73),$E73))*(1+IF($J73="Y",0,Assumptions!$B$3)),"")</f>
        <v>0.297</v>
      </c>
      <c r="W73" s="7" t="n">
        <f aca="false">IF(ISNUMBER($T73),$Q73*$T73/Assumptions!$B$4,"")</f>
        <v>0.638</v>
      </c>
      <c r="X73" s="7" t="n">
        <f aca="false">IF(ISNUMBER($U73),$R73*$U73/Assumptions!$B$5,"")</f>
        <v>0.616</v>
      </c>
      <c r="Y73" s="7" t="n">
        <f aca="false">IF(ISNUMBER($V73),$S73*$V73/Assumptions!$B$6,"")</f>
        <v>0.594</v>
      </c>
      <c r="Z73" s="8" t="str">
        <f aca="false">$A73&amp;"|"&amp;IF(ISNUMBER($W73),TEXT($W73,"0.0000"),"x")&amp;"|"&amp;$L73</f>
        <v>C02|0.6380|Y</v>
      </c>
      <c r="AA73" s="8" t="str">
        <f aca="false">$A73&amp;"|"&amp;IF(ISNUMBER($Y73),TEXT($Y73,"0.0000"),"x")&amp;"|"&amp;$L73</f>
        <v>C02|0.5940|Y</v>
      </c>
    </row>
    <row r="74" customFormat="false" ht="15" hidden="false" customHeight="false" outlineLevel="0" collapsed="false">
      <c r="A74" s="8" t="s">
        <v>176</v>
      </c>
      <c r="B74" s="8" t="s">
        <v>514</v>
      </c>
      <c r="C74" s="8" t="s">
        <v>531</v>
      </c>
      <c r="D74" s="12" t="n">
        <v>1</v>
      </c>
      <c r="E74" s="14" t="n">
        <v>0.3</v>
      </c>
      <c r="F74" s="12"/>
      <c r="G74" s="14"/>
      <c r="H74" s="12"/>
      <c r="I74" s="14"/>
      <c r="J74" s="12" t="s">
        <v>265</v>
      </c>
      <c r="K74" s="8" t="s">
        <v>516</v>
      </c>
      <c r="L74" s="12" t="s">
        <v>265</v>
      </c>
      <c r="M74" s="8" t="s">
        <v>35</v>
      </c>
      <c r="N74" s="15" t="s">
        <v>532</v>
      </c>
      <c r="O74" s="8" t="s">
        <v>533</v>
      </c>
      <c r="P74" s="8" t="n">
        <f aca="false">IFERROR(VLOOKUP($A74,BOM!$A$2:$E$54,5,0),0)</f>
        <v>2</v>
      </c>
      <c r="Q74" s="8" t="n">
        <f aca="false">CEILING($P74*Assumptions!$B$4/$D74,1)</f>
        <v>2</v>
      </c>
      <c r="R74" s="8" t="n">
        <f aca="false">CEILING($P74*Assumptions!$B$5/$D74,1)</f>
        <v>20</v>
      </c>
      <c r="S74" s="8" t="n">
        <f aca="false">CEILING($P74*Assumptions!$B$6/$D74,1)</f>
        <v>200</v>
      </c>
      <c r="T74" s="7" t="n">
        <f aca="false">IF(ISNUMBER($E74),IF(AND(ISNUMBER($I74),ISNUMBER($H74)),IF($H74&lt;=$Q74,$I74,IF(AND(ISNUMBER($G74),ISNUMBER($F74)),IF($F74&lt;=$Q74,$G74,$E74),$E74)),IF(AND(ISNUMBER($G74),ISNUMBER($F74)),IF($F74&lt;=$Q74,$G74,$E74),$E74))*(1+IF($J74="Y",0,Assumptions!$B$3)),"")</f>
        <v>0.3</v>
      </c>
      <c r="U74" s="7" t="n">
        <f aca="false">IF(ISNUMBER($E74),IF(AND(ISNUMBER($I74),ISNUMBER($H74)),IF($H74&lt;=$R74,$I74,IF(AND(ISNUMBER($G74),ISNUMBER($F74)),IF($F74&lt;=$R74,$G74,$E74),$E74)),IF(AND(ISNUMBER($G74),ISNUMBER($F74)),IF($F74&lt;=$R74,$G74,$E74),$E74))*(1+IF($J74="Y",0,Assumptions!$B$3)),"")</f>
        <v>0.3</v>
      </c>
      <c r="V74" s="7" t="n">
        <f aca="false">IF(ISNUMBER($E74),IF(AND(ISNUMBER($I74),ISNUMBER($H74)),IF($H74&lt;=$S74,$I74,IF(AND(ISNUMBER($G74),ISNUMBER($F74)),IF($F74&lt;=$S74,$G74,$E74),$E74)),IF(AND(ISNUMBER($G74),ISNUMBER($F74)),IF($F74&lt;=$S74,$G74,$E74),$E74))*(1+IF($J74="Y",0,Assumptions!$B$3)),"")</f>
        <v>0.3</v>
      </c>
      <c r="W74" s="7" t="n">
        <f aca="false">IF(ISNUMBER($T74),$Q74*$T74/Assumptions!$B$4,"")</f>
        <v>0.6</v>
      </c>
      <c r="X74" s="7" t="n">
        <f aca="false">IF(ISNUMBER($U74),$R74*$U74/Assumptions!$B$5,"")</f>
        <v>0.6</v>
      </c>
      <c r="Y74" s="7" t="n">
        <f aca="false">IF(ISNUMBER($V74),$S74*$V74/Assumptions!$B$6,"")</f>
        <v>0.6</v>
      </c>
      <c r="Z74" s="8" t="str">
        <f aca="false">$A74&amp;"|"&amp;IF(ISNUMBER($W74),TEXT($W74,"0.0000"),"x")&amp;"|"&amp;$L74</f>
        <v>C02|0.6000|Y</v>
      </c>
      <c r="AA74" s="8" t="str">
        <f aca="false">$A74&amp;"|"&amp;IF(ISNUMBER($Y74),TEXT($Y74,"0.0000"),"x")&amp;"|"&amp;$L74</f>
        <v>C02|0.6000|Y</v>
      </c>
    </row>
    <row r="75" customFormat="false" ht="15" hidden="false" customHeight="false" outlineLevel="0" collapsed="false">
      <c r="A75" s="8" t="s">
        <v>178</v>
      </c>
      <c r="B75" s="8" t="s">
        <v>284</v>
      </c>
      <c r="C75" s="8" t="s">
        <v>534</v>
      </c>
      <c r="D75" s="12" t="n">
        <v>1</v>
      </c>
      <c r="E75" s="14" t="n">
        <v>0.85</v>
      </c>
      <c r="F75" s="12" t="n">
        <v>5</v>
      </c>
      <c r="G75" s="14" t="n">
        <v>0.83</v>
      </c>
      <c r="H75" s="12" t="n">
        <v>100</v>
      </c>
      <c r="I75" s="14" t="n">
        <v>0.78</v>
      </c>
      <c r="J75" s="12" t="s">
        <v>263</v>
      </c>
      <c r="K75" s="8" t="s">
        <v>535</v>
      </c>
      <c r="L75" s="12" t="s">
        <v>265</v>
      </c>
      <c r="M75" s="8" t="s">
        <v>266</v>
      </c>
      <c r="N75" s="15" t="s">
        <v>536</v>
      </c>
      <c r="O75" s="8" t="s">
        <v>537</v>
      </c>
      <c r="P75" s="8" t="n">
        <f aca="false">IFERROR(VLOOKUP($A75,BOM!$A$2:$E$54,5,0),0)</f>
        <v>16</v>
      </c>
      <c r="Q75" s="8" t="n">
        <f aca="false">CEILING($P75*Assumptions!$B$4/$D75,1)</f>
        <v>16</v>
      </c>
      <c r="R75" s="8" t="n">
        <f aca="false">CEILING($P75*Assumptions!$B$5/$D75,1)</f>
        <v>160</v>
      </c>
      <c r="S75" s="8" t="n">
        <f aca="false">CEILING($P75*Assumptions!$B$6/$D75,1)</f>
        <v>1600</v>
      </c>
      <c r="T75" s="7" t="n">
        <f aca="false">IF(ISNUMBER($E75),IF(AND(ISNUMBER($I75),ISNUMBER($H75)),IF($H75&lt;=$Q75,$I75,IF(AND(ISNUMBER($G75),ISNUMBER($F75)),IF($F75&lt;=$Q75,$G75,$E75),$E75)),IF(AND(ISNUMBER($G75),ISNUMBER($F75)),IF($F75&lt;=$Q75,$G75,$E75),$E75))*(1+IF($J75="Y",0,Assumptions!$B$3)),"")</f>
        <v>0.913</v>
      </c>
      <c r="U75" s="7" t="n">
        <f aca="false">IF(ISNUMBER($E75),IF(AND(ISNUMBER($I75),ISNUMBER($H75)),IF($H75&lt;=$R75,$I75,IF(AND(ISNUMBER($G75),ISNUMBER($F75)),IF($F75&lt;=$R75,$G75,$E75),$E75)),IF(AND(ISNUMBER($G75),ISNUMBER($F75)),IF($F75&lt;=$R75,$G75,$E75),$E75))*(1+IF($J75="Y",0,Assumptions!$B$3)),"")</f>
        <v>0.858</v>
      </c>
      <c r="V75" s="7" t="n">
        <f aca="false">IF(ISNUMBER($E75),IF(AND(ISNUMBER($I75),ISNUMBER($H75)),IF($H75&lt;=$S75,$I75,IF(AND(ISNUMBER($G75),ISNUMBER($F75)),IF($F75&lt;=$S75,$G75,$E75),$E75)),IF(AND(ISNUMBER($G75),ISNUMBER($F75)),IF($F75&lt;=$S75,$G75,$E75),$E75))*(1+IF($J75="Y",0,Assumptions!$B$3)),"")</f>
        <v>0.858</v>
      </c>
      <c r="W75" s="7" t="n">
        <f aca="false">IF(ISNUMBER($T75),$Q75*$T75/Assumptions!$B$4,"")</f>
        <v>14.608</v>
      </c>
      <c r="X75" s="7" t="n">
        <f aca="false">IF(ISNUMBER($U75),$R75*$U75/Assumptions!$B$5,"")</f>
        <v>13.728</v>
      </c>
      <c r="Y75" s="7" t="n">
        <f aca="false">IF(ISNUMBER($V75),$S75*$V75/Assumptions!$B$6,"")</f>
        <v>13.728</v>
      </c>
      <c r="Z75" s="8" t="str">
        <f aca="false">$A75&amp;"|"&amp;IF(ISNUMBER($W75),TEXT($W75,"0.0000"),"x")&amp;"|"&amp;$L75</f>
        <v>C10u|14.6080|Y</v>
      </c>
      <c r="AA75" s="8" t="str">
        <f aca="false">$A75&amp;"|"&amp;IF(ISNUMBER($Y75),TEXT($Y75,"0.0000"),"x")&amp;"|"&amp;$L75</f>
        <v>C10u|13.7280|Y</v>
      </c>
    </row>
    <row r="76" customFormat="false" ht="15" hidden="false" customHeight="false" outlineLevel="0" collapsed="false">
      <c r="A76" s="8" t="s">
        <v>178</v>
      </c>
      <c r="B76" s="8" t="s">
        <v>514</v>
      </c>
      <c r="C76" s="8" t="s">
        <v>538</v>
      </c>
      <c r="D76" s="12" t="n">
        <v>1</v>
      </c>
      <c r="E76" s="14" t="n">
        <v>0.3</v>
      </c>
      <c r="F76" s="12"/>
      <c r="G76" s="14"/>
      <c r="H76" s="12"/>
      <c r="I76" s="14"/>
      <c r="J76" s="12" t="s">
        <v>265</v>
      </c>
      <c r="K76" s="8" t="s">
        <v>516</v>
      </c>
      <c r="L76" s="12" t="s">
        <v>265</v>
      </c>
      <c r="M76" s="8" t="s">
        <v>266</v>
      </c>
      <c r="N76" s="15" t="s">
        <v>539</v>
      </c>
      <c r="O76" s="8" t="s">
        <v>540</v>
      </c>
      <c r="P76" s="8" t="n">
        <f aca="false">IFERROR(VLOOKUP($A76,BOM!$A$2:$E$54,5,0),0)</f>
        <v>16</v>
      </c>
      <c r="Q76" s="8" t="n">
        <f aca="false">CEILING($P76*Assumptions!$B$4/$D76,1)</f>
        <v>16</v>
      </c>
      <c r="R76" s="8" t="n">
        <f aca="false">CEILING($P76*Assumptions!$B$5/$D76,1)</f>
        <v>160</v>
      </c>
      <c r="S76" s="8" t="n">
        <f aca="false">CEILING($P76*Assumptions!$B$6/$D76,1)</f>
        <v>1600</v>
      </c>
      <c r="T76" s="7" t="n">
        <f aca="false">IF(ISNUMBER($E76),IF(AND(ISNUMBER($I76),ISNUMBER($H76)),IF($H76&lt;=$Q76,$I76,IF(AND(ISNUMBER($G76),ISNUMBER($F76)),IF($F76&lt;=$Q76,$G76,$E76),$E76)),IF(AND(ISNUMBER($G76),ISNUMBER($F76)),IF($F76&lt;=$Q76,$G76,$E76),$E76))*(1+IF($J76="Y",0,Assumptions!$B$3)),"")</f>
        <v>0.3</v>
      </c>
      <c r="U76" s="7" t="n">
        <f aca="false">IF(ISNUMBER($E76),IF(AND(ISNUMBER($I76),ISNUMBER($H76)),IF($H76&lt;=$R76,$I76,IF(AND(ISNUMBER($G76),ISNUMBER($F76)),IF($F76&lt;=$R76,$G76,$E76),$E76)),IF(AND(ISNUMBER($G76),ISNUMBER($F76)),IF($F76&lt;=$R76,$G76,$E76),$E76))*(1+IF($J76="Y",0,Assumptions!$B$3)),"")</f>
        <v>0.3</v>
      </c>
      <c r="V76" s="7" t="n">
        <f aca="false">IF(ISNUMBER($E76),IF(AND(ISNUMBER($I76),ISNUMBER($H76)),IF($H76&lt;=$S76,$I76,IF(AND(ISNUMBER($G76),ISNUMBER($F76)),IF($F76&lt;=$S76,$G76,$E76),$E76)),IF(AND(ISNUMBER($G76),ISNUMBER($F76)),IF($F76&lt;=$S76,$G76,$E76),$E76))*(1+IF($J76="Y",0,Assumptions!$B$3)),"")</f>
        <v>0.3</v>
      </c>
      <c r="W76" s="7" t="n">
        <f aca="false">IF(ISNUMBER($T76),$Q76*$T76/Assumptions!$B$4,"")</f>
        <v>4.8</v>
      </c>
      <c r="X76" s="7" t="n">
        <f aca="false">IF(ISNUMBER($U76),$R76*$U76/Assumptions!$B$5,"")</f>
        <v>4.8</v>
      </c>
      <c r="Y76" s="7" t="n">
        <f aca="false">IF(ISNUMBER($V76),$S76*$V76/Assumptions!$B$6,"")</f>
        <v>4.8</v>
      </c>
      <c r="Z76" s="8" t="str">
        <f aca="false">$A76&amp;"|"&amp;IF(ISNUMBER($W76),TEXT($W76,"0.0000"),"x")&amp;"|"&amp;$L76</f>
        <v>C10u|4.8000|Y</v>
      </c>
      <c r="AA76" s="8" t="str">
        <f aca="false">$A76&amp;"|"&amp;IF(ISNUMBER($Y76),TEXT($Y76,"0.0000"),"x")&amp;"|"&amp;$L76</f>
        <v>C10u|4.8000|Y</v>
      </c>
    </row>
    <row r="77" customFormat="false" ht="15" hidden="false" customHeight="false" outlineLevel="0" collapsed="false">
      <c r="A77" s="8" t="s">
        <v>182</v>
      </c>
      <c r="B77" s="8" t="s">
        <v>284</v>
      </c>
      <c r="C77" s="8" t="s">
        <v>541</v>
      </c>
      <c r="D77" s="12" t="n">
        <v>1</v>
      </c>
      <c r="E77" s="14" t="n">
        <v>0.25</v>
      </c>
      <c r="F77" s="12" t="n">
        <v>10</v>
      </c>
      <c r="G77" s="14" t="n">
        <v>0.25</v>
      </c>
      <c r="H77" s="12" t="n">
        <v>25</v>
      </c>
      <c r="I77" s="14" t="n">
        <v>0.24</v>
      </c>
      <c r="J77" s="12" t="s">
        <v>263</v>
      </c>
      <c r="K77" s="8" t="s">
        <v>542</v>
      </c>
      <c r="L77" s="12" t="s">
        <v>265</v>
      </c>
      <c r="M77" s="8" t="s">
        <v>266</v>
      </c>
      <c r="N77" s="15" t="s">
        <v>543</v>
      </c>
      <c r="O77" s="8" t="s">
        <v>544</v>
      </c>
      <c r="P77" s="8" t="n">
        <f aca="false">IFERROR(VLOOKUP($A77,BOM!$A$2:$E$54,5,0),0)</f>
        <v>1</v>
      </c>
      <c r="Q77" s="8" t="n">
        <f aca="false">CEILING($P77*Assumptions!$B$4/$D77,1)</f>
        <v>1</v>
      </c>
      <c r="R77" s="8" t="n">
        <f aca="false">CEILING($P77*Assumptions!$B$5/$D77,1)</f>
        <v>10</v>
      </c>
      <c r="S77" s="8" t="n">
        <f aca="false">CEILING($P77*Assumptions!$B$6/$D77,1)</f>
        <v>100</v>
      </c>
      <c r="T77" s="7" t="n">
        <f aca="false">IF(ISNUMBER($E77),IF(AND(ISNUMBER($I77),ISNUMBER($H77)),IF($H77&lt;=$Q77,$I77,IF(AND(ISNUMBER($G77),ISNUMBER($F77)),IF($F77&lt;=$Q77,$G77,$E77),$E77)),IF(AND(ISNUMBER($G77),ISNUMBER($F77)),IF($F77&lt;=$Q77,$G77,$E77),$E77))*(1+IF($J77="Y",0,Assumptions!$B$3)),"")</f>
        <v>0.275</v>
      </c>
      <c r="U77" s="7" t="n">
        <f aca="false">IF(ISNUMBER($E77),IF(AND(ISNUMBER($I77),ISNUMBER($H77)),IF($H77&lt;=$R77,$I77,IF(AND(ISNUMBER($G77),ISNUMBER($F77)),IF($F77&lt;=$R77,$G77,$E77),$E77)),IF(AND(ISNUMBER($G77),ISNUMBER($F77)),IF($F77&lt;=$R77,$G77,$E77),$E77))*(1+IF($J77="Y",0,Assumptions!$B$3)),"")</f>
        <v>0.275</v>
      </c>
      <c r="V77" s="7" t="n">
        <f aca="false">IF(ISNUMBER($E77),IF(AND(ISNUMBER($I77),ISNUMBER($H77)),IF($H77&lt;=$S77,$I77,IF(AND(ISNUMBER($G77),ISNUMBER($F77)),IF($F77&lt;=$S77,$G77,$E77),$E77)),IF(AND(ISNUMBER($G77),ISNUMBER($F77)),IF($F77&lt;=$S77,$G77,$E77),$E77))*(1+IF($J77="Y",0,Assumptions!$B$3)),"")</f>
        <v>0.264</v>
      </c>
      <c r="W77" s="7" t="n">
        <f aca="false">IF(ISNUMBER($T77),$Q77*$T77/Assumptions!$B$4,"")</f>
        <v>0.275</v>
      </c>
      <c r="X77" s="7" t="n">
        <f aca="false">IF(ISNUMBER($U77),$R77*$U77/Assumptions!$B$5,"")</f>
        <v>0.275</v>
      </c>
      <c r="Y77" s="7" t="n">
        <f aca="false">IF(ISNUMBER($V77),$S77*$V77/Assumptions!$B$6,"")</f>
        <v>0.264</v>
      </c>
      <c r="Z77" s="8" t="str">
        <f aca="false">$A77&amp;"|"&amp;IF(ISNUMBER($W77),TEXT($W77,"0.0000"),"x")&amp;"|"&amp;$L77</f>
        <v>C100u|0.2750|Y</v>
      </c>
      <c r="AA77" s="8" t="str">
        <f aca="false">$A77&amp;"|"&amp;IF(ISNUMBER($Y77),TEXT($Y77,"0.0000"),"x")&amp;"|"&amp;$L77</f>
        <v>C100u|0.2640|Y</v>
      </c>
    </row>
    <row r="78" customFormat="false" ht="15" hidden="false" customHeight="false" outlineLevel="0" collapsed="false">
      <c r="A78" s="8" t="s">
        <v>182</v>
      </c>
      <c r="B78" s="8" t="s">
        <v>514</v>
      </c>
      <c r="C78" s="8" t="s">
        <v>545</v>
      </c>
      <c r="D78" s="12" t="n">
        <v>1</v>
      </c>
      <c r="E78" s="14" t="n">
        <v>0.35</v>
      </c>
      <c r="F78" s="12"/>
      <c r="G78" s="14"/>
      <c r="H78" s="12"/>
      <c r="I78" s="14"/>
      <c r="J78" s="12" t="s">
        <v>265</v>
      </c>
      <c r="K78" s="8" t="s">
        <v>516</v>
      </c>
      <c r="L78" s="12" t="s">
        <v>265</v>
      </c>
      <c r="M78" s="8" t="s">
        <v>266</v>
      </c>
      <c r="N78" s="15" t="s">
        <v>546</v>
      </c>
      <c r="O78" s="8" t="s">
        <v>547</v>
      </c>
      <c r="P78" s="8" t="n">
        <f aca="false">IFERROR(VLOOKUP($A78,BOM!$A$2:$E$54,5,0),0)</f>
        <v>1</v>
      </c>
      <c r="Q78" s="8" t="n">
        <f aca="false">CEILING($P78*Assumptions!$B$4/$D78,1)</f>
        <v>1</v>
      </c>
      <c r="R78" s="8" t="n">
        <f aca="false">CEILING($P78*Assumptions!$B$5/$D78,1)</f>
        <v>10</v>
      </c>
      <c r="S78" s="8" t="n">
        <f aca="false">CEILING($P78*Assumptions!$B$6/$D78,1)</f>
        <v>100</v>
      </c>
      <c r="T78" s="7" t="n">
        <f aca="false">IF(ISNUMBER($E78),IF(AND(ISNUMBER($I78),ISNUMBER($H78)),IF($H78&lt;=$Q78,$I78,IF(AND(ISNUMBER($G78),ISNUMBER($F78)),IF($F78&lt;=$Q78,$G78,$E78),$E78)),IF(AND(ISNUMBER($G78),ISNUMBER($F78)),IF($F78&lt;=$Q78,$G78,$E78),$E78))*(1+IF($J78="Y",0,Assumptions!$B$3)),"")</f>
        <v>0.35</v>
      </c>
      <c r="U78" s="7" t="n">
        <f aca="false">IF(ISNUMBER($E78),IF(AND(ISNUMBER($I78),ISNUMBER($H78)),IF($H78&lt;=$R78,$I78,IF(AND(ISNUMBER($G78),ISNUMBER($F78)),IF($F78&lt;=$R78,$G78,$E78),$E78)),IF(AND(ISNUMBER($G78),ISNUMBER($F78)),IF($F78&lt;=$R78,$G78,$E78),$E78))*(1+IF($J78="Y",0,Assumptions!$B$3)),"")</f>
        <v>0.35</v>
      </c>
      <c r="V78" s="7" t="n">
        <f aca="false">IF(ISNUMBER($E78),IF(AND(ISNUMBER($I78),ISNUMBER($H78)),IF($H78&lt;=$S78,$I78,IF(AND(ISNUMBER($G78),ISNUMBER($F78)),IF($F78&lt;=$S78,$G78,$E78),$E78)),IF(AND(ISNUMBER($G78),ISNUMBER($F78)),IF($F78&lt;=$S78,$G78,$E78),$E78))*(1+IF($J78="Y",0,Assumptions!$B$3)),"")</f>
        <v>0.35</v>
      </c>
      <c r="W78" s="7" t="n">
        <f aca="false">IF(ISNUMBER($T78),$Q78*$T78/Assumptions!$B$4,"")</f>
        <v>0.35</v>
      </c>
      <c r="X78" s="7" t="n">
        <f aca="false">IF(ISNUMBER($U78),$R78*$U78/Assumptions!$B$5,"")</f>
        <v>0.35</v>
      </c>
      <c r="Y78" s="7" t="n">
        <f aca="false">IF(ISNUMBER($V78),$S78*$V78/Assumptions!$B$6,"")</f>
        <v>0.35</v>
      </c>
      <c r="Z78" s="8" t="str">
        <f aca="false">$A78&amp;"|"&amp;IF(ISNUMBER($W78),TEXT($W78,"0.0000"),"x")&amp;"|"&amp;$L78</f>
        <v>C100u|0.3500|Y</v>
      </c>
      <c r="AA78" s="8" t="str">
        <f aca="false">$A78&amp;"|"&amp;IF(ISNUMBER($Y78),TEXT($Y78,"0.0000"),"x")&amp;"|"&amp;$L78</f>
        <v>C100u|0.3500|Y</v>
      </c>
    </row>
    <row r="79" customFormat="false" ht="15" hidden="false" customHeight="false" outlineLevel="0" collapsed="false">
      <c r="A79" s="8" t="s">
        <v>186</v>
      </c>
      <c r="B79" s="8" t="s">
        <v>548</v>
      </c>
      <c r="C79" s="8" t="s">
        <v>549</v>
      </c>
      <c r="D79" s="12" t="n">
        <v>1</v>
      </c>
      <c r="E79" s="14" t="n">
        <v>2.9</v>
      </c>
      <c r="F79" s="12" t="n">
        <v>10</v>
      </c>
      <c r="G79" s="14" t="n">
        <v>2.35</v>
      </c>
      <c r="H79" s="12"/>
      <c r="I79" s="14"/>
      <c r="J79" s="12" t="s">
        <v>265</v>
      </c>
      <c r="K79" s="8" t="s">
        <v>270</v>
      </c>
      <c r="L79" s="12" t="s">
        <v>265</v>
      </c>
      <c r="M79" s="8" t="s">
        <v>35</v>
      </c>
      <c r="N79" s="15" t="s">
        <v>550</v>
      </c>
      <c r="O79" s="8" t="s">
        <v>551</v>
      </c>
      <c r="P79" s="8" t="n">
        <f aca="false">IFERROR(VLOOKUP($A79,BOM!$A$2:$E$54,5,0),0)</f>
        <v>1</v>
      </c>
      <c r="Q79" s="8" t="n">
        <f aca="false">CEILING($P79*Assumptions!$B$4/$D79,1)</f>
        <v>1</v>
      </c>
      <c r="R79" s="8" t="n">
        <f aca="false">CEILING($P79*Assumptions!$B$5/$D79,1)</f>
        <v>10</v>
      </c>
      <c r="S79" s="8" t="n">
        <f aca="false">CEILING($P79*Assumptions!$B$6/$D79,1)</f>
        <v>100</v>
      </c>
      <c r="T79" s="7" t="n">
        <f aca="false">IF(ISNUMBER($E79),IF(AND(ISNUMBER($I79),ISNUMBER($H79)),IF($H79&lt;=$Q79,$I79,IF(AND(ISNUMBER($G79),ISNUMBER($F79)),IF($F79&lt;=$Q79,$G79,$E79),$E79)),IF(AND(ISNUMBER($G79),ISNUMBER($F79)),IF($F79&lt;=$Q79,$G79,$E79),$E79))*(1+IF($J79="Y",0,Assumptions!$B$3)),"")</f>
        <v>2.9</v>
      </c>
      <c r="U79" s="7" t="n">
        <f aca="false">IF(ISNUMBER($E79),IF(AND(ISNUMBER($I79),ISNUMBER($H79)),IF($H79&lt;=$R79,$I79,IF(AND(ISNUMBER($G79),ISNUMBER($F79)),IF($F79&lt;=$R79,$G79,$E79),$E79)),IF(AND(ISNUMBER($G79),ISNUMBER($F79)),IF($F79&lt;=$R79,$G79,$E79),$E79))*(1+IF($J79="Y",0,Assumptions!$B$3)),"")</f>
        <v>2.35</v>
      </c>
      <c r="V79" s="7" t="n">
        <f aca="false">IF(ISNUMBER($E79),IF(AND(ISNUMBER($I79),ISNUMBER($H79)),IF($H79&lt;=$S79,$I79,IF(AND(ISNUMBER($G79),ISNUMBER($F79)),IF($F79&lt;=$S79,$G79,$E79),$E79)),IF(AND(ISNUMBER($G79),ISNUMBER($F79)),IF($F79&lt;=$S79,$G79,$E79),$E79))*(1+IF($J79="Y",0,Assumptions!$B$3)),"")</f>
        <v>2.35</v>
      </c>
      <c r="W79" s="7" t="n">
        <f aca="false">IF(ISNUMBER($T79),$Q79*$T79/Assumptions!$B$4,"")</f>
        <v>2.9</v>
      </c>
      <c r="X79" s="7" t="n">
        <f aca="false">IF(ISNUMBER($U79),$R79*$U79/Assumptions!$B$5,"")</f>
        <v>2.35</v>
      </c>
      <c r="Y79" s="7" t="n">
        <f aca="false">IF(ISNUMBER($V79),$S79*$V79/Assumptions!$B$6,"")</f>
        <v>2.35</v>
      </c>
      <c r="Z79" s="8" t="str">
        <f aca="false">$A79&amp;"|"&amp;IF(ISNUMBER($W79),TEXT($W79,"0.0000"),"x")&amp;"|"&amp;$L79</f>
        <v>VR1|2.9000|Y</v>
      </c>
      <c r="AA79" s="8" t="str">
        <f aca="false">$A79&amp;"|"&amp;IF(ISNUMBER($Y79),TEXT($Y79,"0.0000"),"x")&amp;"|"&amp;$L79</f>
        <v>VR1|2.3500|Y</v>
      </c>
    </row>
    <row r="80" customFormat="false" ht="15" hidden="false" customHeight="false" outlineLevel="0" collapsed="false">
      <c r="A80" s="8" t="s">
        <v>186</v>
      </c>
      <c r="B80" s="8" t="s">
        <v>514</v>
      </c>
      <c r="C80" s="8" t="s">
        <v>552</v>
      </c>
      <c r="D80" s="12" t="n">
        <v>1</v>
      </c>
      <c r="E80" s="14" t="n">
        <v>3.95</v>
      </c>
      <c r="F80" s="12"/>
      <c r="G80" s="14"/>
      <c r="H80" s="12"/>
      <c r="I80" s="14"/>
      <c r="J80" s="12" t="s">
        <v>265</v>
      </c>
      <c r="K80" s="8" t="s">
        <v>516</v>
      </c>
      <c r="L80" s="12" t="s">
        <v>265</v>
      </c>
      <c r="M80" s="8" t="s">
        <v>35</v>
      </c>
      <c r="N80" s="15" t="s">
        <v>553</v>
      </c>
      <c r="O80" s="8" t="s">
        <v>554</v>
      </c>
      <c r="P80" s="8" t="n">
        <f aca="false">IFERROR(VLOOKUP($A80,BOM!$A$2:$E$54,5,0),0)</f>
        <v>1</v>
      </c>
      <c r="Q80" s="8" t="n">
        <f aca="false">CEILING($P80*Assumptions!$B$4/$D80,1)</f>
        <v>1</v>
      </c>
      <c r="R80" s="8" t="n">
        <f aca="false">CEILING($P80*Assumptions!$B$5/$D80,1)</f>
        <v>10</v>
      </c>
      <c r="S80" s="8" t="n">
        <f aca="false">CEILING($P80*Assumptions!$B$6/$D80,1)</f>
        <v>100</v>
      </c>
      <c r="T80" s="7" t="n">
        <f aca="false">IF(ISNUMBER($E80),IF(AND(ISNUMBER($I80),ISNUMBER($H80)),IF($H80&lt;=$Q80,$I80,IF(AND(ISNUMBER($G80),ISNUMBER($F80)),IF($F80&lt;=$Q80,$G80,$E80),$E80)),IF(AND(ISNUMBER($G80),ISNUMBER($F80)),IF($F80&lt;=$Q80,$G80,$E80),$E80))*(1+IF($J80="Y",0,Assumptions!$B$3)),"")</f>
        <v>3.95</v>
      </c>
      <c r="U80" s="7" t="n">
        <f aca="false">IF(ISNUMBER($E80),IF(AND(ISNUMBER($I80),ISNUMBER($H80)),IF($H80&lt;=$R80,$I80,IF(AND(ISNUMBER($G80),ISNUMBER($F80)),IF($F80&lt;=$R80,$G80,$E80),$E80)),IF(AND(ISNUMBER($G80),ISNUMBER($F80)),IF($F80&lt;=$R80,$G80,$E80),$E80))*(1+IF($J80="Y",0,Assumptions!$B$3)),"")</f>
        <v>3.95</v>
      </c>
      <c r="V80" s="7" t="n">
        <f aca="false">IF(ISNUMBER($E80),IF(AND(ISNUMBER($I80),ISNUMBER($H80)),IF($H80&lt;=$S80,$I80,IF(AND(ISNUMBER($G80),ISNUMBER($F80)),IF($F80&lt;=$S80,$G80,$E80),$E80)),IF(AND(ISNUMBER($G80),ISNUMBER($F80)),IF($F80&lt;=$S80,$G80,$E80),$E80))*(1+IF($J80="Y",0,Assumptions!$B$3)),"")</f>
        <v>3.95</v>
      </c>
      <c r="W80" s="7" t="n">
        <f aca="false">IF(ISNUMBER($T80),$Q80*$T80/Assumptions!$B$4,"")</f>
        <v>3.95</v>
      </c>
      <c r="X80" s="7" t="n">
        <f aca="false">IF(ISNUMBER($U80),$R80*$U80/Assumptions!$B$5,"")</f>
        <v>3.95</v>
      </c>
      <c r="Y80" s="7" t="n">
        <f aca="false">IF(ISNUMBER($V80),$S80*$V80/Assumptions!$B$6,"")</f>
        <v>3.95</v>
      </c>
      <c r="Z80" s="8" t="str">
        <f aca="false">$A80&amp;"|"&amp;IF(ISNUMBER($W80),TEXT($W80,"0.0000"),"x")&amp;"|"&amp;$L80</f>
        <v>VR1|3.9500|Y</v>
      </c>
      <c r="AA80" s="8" t="str">
        <f aca="false">$A80&amp;"|"&amp;IF(ISNUMBER($Y80),TEXT($Y80,"0.0000"),"x")&amp;"|"&amp;$L80</f>
        <v>VR1|3.9500|Y</v>
      </c>
    </row>
    <row r="81" customFormat="false" ht="15" hidden="false" customHeight="false" outlineLevel="0" collapsed="false">
      <c r="A81" s="8" t="s">
        <v>189</v>
      </c>
      <c r="B81" s="8" t="s">
        <v>284</v>
      </c>
      <c r="C81" s="8" t="s">
        <v>555</v>
      </c>
      <c r="D81" s="12" t="n">
        <v>1</v>
      </c>
      <c r="E81" s="14" t="n">
        <v>8.94</v>
      </c>
      <c r="F81" s="12"/>
      <c r="G81" s="14"/>
      <c r="H81" s="12"/>
      <c r="I81" s="14"/>
      <c r="J81" s="12" t="s">
        <v>265</v>
      </c>
      <c r="K81" s="8" t="s">
        <v>556</v>
      </c>
      <c r="L81" s="12" t="s">
        <v>265</v>
      </c>
      <c r="M81" s="8" t="s">
        <v>266</v>
      </c>
      <c r="N81" s="15" t="s">
        <v>557</v>
      </c>
      <c r="O81" s="8" t="s">
        <v>558</v>
      </c>
      <c r="P81" s="8" t="n">
        <f aca="false">IFERROR(VLOOKUP($A81,BOM!$A$2:$E$54,5,0),0)</f>
        <v>1</v>
      </c>
      <c r="Q81" s="8" t="n">
        <f aca="false">CEILING($P81*Assumptions!$B$4/$D81,1)</f>
        <v>1</v>
      </c>
      <c r="R81" s="8" t="n">
        <f aca="false">CEILING($P81*Assumptions!$B$5/$D81,1)</f>
        <v>10</v>
      </c>
      <c r="S81" s="8" t="n">
        <f aca="false">CEILING($P81*Assumptions!$B$6/$D81,1)</f>
        <v>100</v>
      </c>
      <c r="T81" s="7" t="n">
        <f aca="false">IF(ISNUMBER($E81),IF(AND(ISNUMBER($I81),ISNUMBER($H81)),IF($H81&lt;=$Q81,$I81,IF(AND(ISNUMBER($G81),ISNUMBER($F81)),IF($F81&lt;=$Q81,$G81,$E81),$E81)),IF(AND(ISNUMBER($G81),ISNUMBER($F81)),IF($F81&lt;=$Q81,$G81,$E81),$E81))*(1+IF($J81="Y",0,Assumptions!$B$3)),"")</f>
        <v>8.94</v>
      </c>
      <c r="U81" s="7" t="n">
        <f aca="false">IF(ISNUMBER($E81),IF(AND(ISNUMBER($I81),ISNUMBER($H81)),IF($H81&lt;=$R81,$I81,IF(AND(ISNUMBER($G81),ISNUMBER($F81)),IF($F81&lt;=$R81,$G81,$E81),$E81)),IF(AND(ISNUMBER($G81),ISNUMBER($F81)),IF($F81&lt;=$R81,$G81,$E81),$E81))*(1+IF($J81="Y",0,Assumptions!$B$3)),"")</f>
        <v>8.94</v>
      </c>
      <c r="V81" s="7" t="n">
        <f aca="false">IF(ISNUMBER($E81),IF(AND(ISNUMBER($I81),ISNUMBER($H81)),IF($H81&lt;=$S81,$I81,IF(AND(ISNUMBER($G81),ISNUMBER($F81)),IF($F81&lt;=$S81,$G81,$E81),$E81)),IF(AND(ISNUMBER($G81),ISNUMBER($F81)),IF($F81&lt;=$S81,$G81,$E81),$E81))*(1+IF($J81="Y",0,Assumptions!$B$3)),"")</f>
        <v>8.94</v>
      </c>
      <c r="W81" s="7" t="n">
        <f aca="false">IF(ISNUMBER($T81),$Q81*$T81/Assumptions!$B$4,"")</f>
        <v>8.94</v>
      </c>
      <c r="X81" s="7" t="n">
        <f aca="false">IF(ISNUMBER($U81),$R81*$U81/Assumptions!$B$5,"")</f>
        <v>8.94</v>
      </c>
      <c r="Y81" s="7" t="n">
        <f aca="false">IF(ISNUMBER($V81),$S81*$V81/Assumptions!$B$6,"")</f>
        <v>8.94</v>
      </c>
      <c r="Z81" s="8" t="str">
        <f aca="false">$A81&amp;"|"&amp;IF(ISNUMBER($W81),TEXT($W81,"0.0000"),"x")&amp;"|"&amp;$L81</f>
        <v>JP3|8.9400|Y</v>
      </c>
      <c r="AA81" s="8" t="str">
        <f aca="false">$A81&amp;"|"&amp;IF(ISNUMBER($Y81),TEXT($Y81,"0.0000"),"x")&amp;"|"&amp;$L81</f>
        <v>JP3|8.9400|Y</v>
      </c>
    </row>
    <row r="82" customFormat="false" ht="15" hidden="false" customHeight="false" outlineLevel="0" collapsed="false">
      <c r="A82" s="8" t="s">
        <v>189</v>
      </c>
      <c r="B82" s="8" t="s">
        <v>261</v>
      </c>
      <c r="C82" s="8" t="s">
        <v>559</v>
      </c>
      <c r="D82" s="12" t="n">
        <v>1</v>
      </c>
      <c r="E82" s="14" t="n">
        <v>0.943</v>
      </c>
      <c r="F82" s="12" t="n">
        <v>10</v>
      </c>
      <c r="G82" s="14" t="n">
        <v>0.815</v>
      </c>
      <c r="H82" s="12" t="n">
        <v>100</v>
      </c>
      <c r="I82" s="14" t="n">
        <v>0.65</v>
      </c>
      <c r="J82" s="12" t="s">
        <v>263</v>
      </c>
      <c r="K82" s="8" t="s">
        <v>560</v>
      </c>
      <c r="L82" s="12" t="s">
        <v>265</v>
      </c>
      <c r="M82" s="8" t="s">
        <v>266</v>
      </c>
      <c r="N82" s="15" t="s">
        <v>561</v>
      </c>
      <c r="O82" s="8" t="s">
        <v>562</v>
      </c>
      <c r="P82" s="8" t="n">
        <f aca="false">IFERROR(VLOOKUP($A82,BOM!$A$2:$E$54,5,0),0)</f>
        <v>1</v>
      </c>
      <c r="Q82" s="8" t="n">
        <f aca="false">CEILING($P82*Assumptions!$B$4/$D82,1)</f>
        <v>1</v>
      </c>
      <c r="R82" s="8" t="n">
        <f aca="false">CEILING($P82*Assumptions!$B$5/$D82,1)</f>
        <v>10</v>
      </c>
      <c r="S82" s="8" t="n">
        <f aca="false">CEILING($P82*Assumptions!$B$6/$D82,1)</f>
        <v>100</v>
      </c>
      <c r="T82" s="7" t="n">
        <f aca="false">IF(ISNUMBER($E82),IF(AND(ISNUMBER($I82),ISNUMBER($H82)),IF($H82&lt;=$Q82,$I82,IF(AND(ISNUMBER($G82),ISNUMBER($F82)),IF($F82&lt;=$Q82,$G82,$E82),$E82)),IF(AND(ISNUMBER($G82),ISNUMBER($F82)),IF($F82&lt;=$Q82,$G82,$E82),$E82))*(1+IF($J82="Y",0,Assumptions!$B$3)),"")</f>
        <v>1.0373</v>
      </c>
      <c r="U82" s="7" t="n">
        <f aca="false">IF(ISNUMBER($E82),IF(AND(ISNUMBER($I82),ISNUMBER($H82)),IF($H82&lt;=$R82,$I82,IF(AND(ISNUMBER($G82),ISNUMBER($F82)),IF($F82&lt;=$R82,$G82,$E82),$E82)),IF(AND(ISNUMBER($G82),ISNUMBER($F82)),IF($F82&lt;=$R82,$G82,$E82),$E82))*(1+IF($J82="Y",0,Assumptions!$B$3)),"")</f>
        <v>0.8965</v>
      </c>
      <c r="V82" s="7" t="n">
        <f aca="false">IF(ISNUMBER($E82),IF(AND(ISNUMBER($I82),ISNUMBER($H82)),IF($H82&lt;=$S82,$I82,IF(AND(ISNUMBER($G82),ISNUMBER($F82)),IF($F82&lt;=$S82,$G82,$E82),$E82)),IF(AND(ISNUMBER($G82),ISNUMBER($F82)),IF($F82&lt;=$S82,$G82,$E82),$E82))*(1+IF($J82="Y",0,Assumptions!$B$3)),"")</f>
        <v>0.715</v>
      </c>
      <c r="W82" s="7" t="n">
        <f aca="false">IF(ISNUMBER($T82),$Q82*$T82/Assumptions!$B$4,"")</f>
        <v>1.0373</v>
      </c>
      <c r="X82" s="7" t="n">
        <f aca="false">IF(ISNUMBER($U82),$R82*$U82/Assumptions!$B$5,"")</f>
        <v>0.8965</v>
      </c>
      <c r="Y82" s="7" t="n">
        <f aca="false">IF(ISNUMBER($V82),$S82*$V82/Assumptions!$B$6,"")</f>
        <v>0.715</v>
      </c>
      <c r="Z82" s="8" t="str">
        <f aca="false">$A82&amp;"|"&amp;IF(ISNUMBER($W82),TEXT($W82,"0.0000"),"x")&amp;"|"&amp;$L82</f>
        <v>JP3|1.0373|Y</v>
      </c>
      <c r="AA82" s="8" t="str">
        <f aca="false">$A82&amp;"|"&amp;IF(ISNUMBER($Y82),TEXT($Y82,"0.0000"),"x")&amp;"|"&amp;$L82</f>
        <v>JP3|0.7150|Y</v>
      </c>
    </row>
    <row r="83" customFormat="false" ht="15" hidden="false" customHeight="false" outlineLevel="0" collapsed="false">
      <c r="A83" s="8" t="s">
        <v>192</v>
      </c>
      <c r="B83" s="8" t="s">
        <v>284</v>
      </c>
      <c r="C83" s="8" t="s">
        <v>563</v>
      </c>
      <c r="D83" s="12" t="n">
        <v>20</v>
      </c>
      <c r="E83" s="14" t="n">
        <v>4.45</v>
      </c>
      <c r="F83" s="12" t="n">
        <v>10</v>
      </c>
      <c r="G83" s="14" t="n">
        <v>4.32</v>
      </c>
      <c r="H83" s="12" t="n">
        <v>50</v>
      </c>
      <c r="I83" s="14" t="n">
        <v>4.24</v>
      </c>
      <c r="J83" s="12" t="s">
        <v>263</v>
      </c>
      <c r="K83" s="8" t="s">
        <v>564</v>
      </c>
      <c r="L83" s="12" t="s">
        <v>265</v>
      </c>
      <c r="M83" s="8" t="s">
        <v>35</v>
      </c>
      <c r="N83" s="15" t="s">
        <v>565</v>
      </c>
      <c r="O83" s="8" t="s">
        <v>566</v>
      </c>
      <c r="P83" s="8" t="n">
        <f aca="false">IFERROR(VLOOKUP($A83,BOM!$A$2:$E$54,5,0),0)</f>
        <v>3</v>
      </c>
      <c r="Q83" s="8" t="n">
        <f aca="false">CEILING($P83*Assumptions!$B$4/$D83,1)</f>
        <v>1</v>
      </c>
      <c r="R83" s="8" t="n">
        <f aca="false">CEILING($P83*Assumptions!$B$5/$D83,1)</f>
        <v>2</v>
      </c>
      <c r="S83" s="8" t="n">
        <f aca="false">CEILING($P83*Assumptions!$B$6/$D83,1)</f>
        <v>15</v>
      </c>
      <c r="T83" s="7" t="n">
        <f aca="false">IF(ISNUMBER($E83),IF(AND(ISNUMBER($I83),ISNUMBER($H83)),IF($H83&lt;=$Q83,$I83,IF(AND(ISNUMBER($G83),ISNUMBER($F83)),IF($F83&lt;=$Q83,$G83,$E83),$E83)),IF(AND(ISNUMBER($G83),ISNUMBER($F83)),IF($F83&lt;=$Q83,$G83,$E83),$E83))*(1+IF($J83="Y",0,Assumptions!$B$3)),"")</f>
        <v>4.895</v>
      </c>
      <c r="U83" s="7" t="n">
        <f aca="false">IF(ISNUMBER($E83),IF(AND(ISNUMBER($I83),ISNUMBER($H83)),IF($H83&lt;=$R83,$I83,IF(AND(ISNUMBER($G83),ISNUMBER($F83)),IF($F83&lt;=$R83,$G83,$E83),$E83)),IF(AND(ISNUMBER($G83),ISNUMBER($F83)),IF($F83&lt;=$R83,$G83,$E83),$E83))*(1+IF($J83="Y",0,Assumptions!$B$3)),"")</f>
        <v>4.895</v>
      </c>
      <c r="V83" s="7" t="n">
        <f aca="false">IF(ISNUMBER($E83),IF(AND(ISNUMBER($I83),ISNUMBER($H83)),IF($H83&lt;=$S83,$I83,IF(AND(ISNUMBER($G83),ISNUMBER($F83)),IF($F83&lt;=$S83,$G83,$E83),$E83)),IF(AND(ISNUMBER($G83),ISNUMBER($F83)),IF($F83&lt;=$S83,$G83,$E83),$E83))*(1+IF($J83="Y",0,Assumptions!$B$3)),"")</f>
        <v>4.752</v>
      </c>
      <c r="W83" s="7" t="n">
        <f aca="false">IF(ISNUMBER($T83),$Q83*$T83/Assumptions!$B$4,"")</f>
        <v>4.895</v>
      </c>
      <c r="X83" s="7" t="n">
        <f aca="false">IF(ISNUMBER($U83),$R83*$U83/Assumptions!$B$5,"")</f>
        <v>0.979</v>
      </c>
      <c r="Y83" s="7" t="n">
        <f aca="false">IF(ISNUMBER($V83),$S83*$V83/Assumptions!$B$6,"")</f>
        <v>0.7128</v>
      </c>
      <c r="Z83" s="8" t="str">
        <f aca="false">$A83&amp;"|"&amp;IF(ISNUMBER($W83),TEXT($W83,"0.0000"),"x")&amp;"|"&amp;$L83</f>
        <v>SW1|4.8950|Y</v>
      </c>
      <c r="AA83" s="8" t="str">
        <f aca="false">$A83&amp;"|"&amp;IF(ISNUMBER($Y83),TEXT($Y83,"0.0000"),"x")&amp;"|"&amp;$L83</f>
        <v>SW1|0.7128|Y</v>
      </c>
    </row>
    <row r="84" customFormat="false" ht="15" hidden="false" customHeight="false" outlineLevel="0" collapsed="false">
      <c r="A84" s="8" t="s">
        <v>192</v>
      </c>
      <c r="B84" s="8" t="s">
        <v>514</v>
      </c>
      <c r="C84" s="8" t="s">
        <v>567</v>
      </c>
      <c r="D84" s="12" t="n">
        <v>1</v>
      </c>
      <c r="E84" s="14" t="n">
        <v>0.95</v>
      </c>
      <c r="F84" s="12"/>
      <c r="G84" s="14"/>
      <c r="H84" s="12"/>
      <c r="I84" s="14"/>
      <c r="J84" s="12" t="s">
        <v>265</v>
      </c>
      <c r="K84" s="8" t="s">
        <v>516</v>
      </c>
      <c r="L84" s="12" t="s">
        <v>265</v>
      </c>
      <c r="M84" s="8" t="s">
        <v>35</v>
      </c>
      <c r="N84" s="15" t="s">
        <v>568</v>
      </c>
      <c r="O84" s="8" t="s">
        <v>569</v>
      </c>
      <c r="P84" s="8" t="n">
        <f aca="false">IFERROR(VLOOKUP($A84,BOM!$A$2:$E$54,5,0),0)</f>
        <v>3</v>
      </c>
      <c r="Q84" s="8" t="n">
        <f aca="false">CEILING($P84*Assumptions!$B$4/$D84,1)</f>
        <v>3</v>
      </c>
      <c r="R84" s="8" t="n">
        <f aca="false">CEILING($P84*Assumptions!$B$5/$D84,1)</f>
        <v>30</v>
      </c>
      <c r="S84" s="8" t="n">
        <f aca="false">CEILING($P84*Assumptions!$B$6/$D84,1)</f>
        <v>300</v>
      </c>
      <c r="T84" s="7" t="n">
        <f aca="false">IF(ISNUMBER($E84),IF(AND(ISNUMBER($I84),ISNUMBER($H84)),IF($H84&lt;=$Q84,$I84,IF(AND(ISNUMBER($G84),ISNUMBER($F84)),IF($F84&lt;=$Q84,$G84,$E84),$E84)),IF(AND(ISNUMBER($G84),ISNUMBER($F84)),IF($F84&lt;=$Q84,$G84,$E84),$E84))*(1+IF($J84="Y",0,Assumptions!$B$3)),"")</f>
        <v>0.95</v>
      </c>
      <c r="U84" s="7" t="n">
        <f aca="false">IF(ISNUMBER($E84),IF(AND(ISNUMBER($I84),ISNUMBER($H84)),IF($H84&lt;=$R84,$I84,IF(AND(ISNUMBER($G84),ISNUMBER($F84)),IF($F84&lt;=$R84,$G84,$E84),$E84)),IF(AND(ISNUMBER($G84),ISNUMBER($F84)),IF($F84&lt;=$R84,$G84,$E84),$E84))*(1+IF($J84="Y",0,Assumptions!$B$3)),"")</f>
        <v>0.95</v>
      </c>
      <c r="V84" s="7" t="n">
        <f aca="false">IF(ISNUMBER($E84),IF(AND(ISNUMBER($I84),ISNUMBER($H84)),IF($H84&lt;=$S84,$I84,IF(AND(ISNUMBER($G84),ISNUMBER($F84)),IF($F84&lt;=$S84,$G84,$E84),$E84)),IF(AND(ISNUMBER($G84),ISNUMBER($F84)),IF($F84&lt;=$S84,$G84,$E84),$E84))*(1+IF($J84="Y",0,Assumptions!$B$3)),"")</f>
        <v>0.95</v>
      </c>
      <c r="W84" s="7" t="n">
        <f aca="false">IF(ISNUMBER($T84),$Q84*$T84/Assumptions!$B$4,"")</f>
        <v>2.85</v>
      </c>
      <c r="X84" s="7" t="n">
        <f aca="false">IF(ISNUMBER($U84),$R84*$U84/Assumptions!$B$5,"")</f>
        <v>2.85</v>
      </c>
      <c r="Y84" s="7" t="n">
        <f aca="false">IF(ISNUMBER($V84),$S84*$V84/Assumptions!$B$6,"")</f>
        <v>2.85</v>
      </c>
      <c r="Z84" s="8" t="str">
        <f aca="false">$A84&amp;"|"&amp;IF(ISNUMBER($W84),TEXT($W84,"0.0000"),"x")&amp;"|"&amp;$L84</f>
        <v>SW1|2.8500|Y</v>
      </c>
      <c r="AA84" s="8" t="str">
        <f aca="false">$A84&amp;"|"&amp;IF(ISNUMBER($Y84),TEXT($Y84,"0.0000"),"x")&amp;"|"&amp;$L84</f>
        <v>SW1|2.8500|Y</v>
      </c>
    </row>
    <row r="85" customFormat="false" ht="15" hidden="false" customHeight="false" outlineLevel="0" collapsed="false">
      <c r="A85" s="8" t="s">
        <v>195</v>
      </c>
      <c r="B85" s="8" t="s">
        <v>284</v>
      </c>
      <c r="C85" s="8" t="s">
        <v>570</v>
      </c>
      <c r="D85" s="12" t="n">
        <v>1</v>
      </c>
      <c r="E85" s="14" t="n">
        <v>1.73</v>
      </c>
      <c r="F85" s="12" t="n">
        <v>10</v>
      </c>
      <c r="G85" s="14" t="n">
        <v>1.67</v>
      </c>
      <c r="H85" s="12" t="n">
        <v>50</v>
      </c>
      <c r="I85" s="14" t="n">
        <v>1.64</v>
      </c>
      <c r="J85" s="12" t="s">
        <v>263</v>
      </c>
      <c r="K85" s="8" t="s">
        <v>571</v>
      </c>
      <c r="L85" s="12" t="s">
        <v>265</v>
      </c>
      <c r="M85" s="8" t="s">
        <v>35</v>
      </c>
      <c r="N85" s="15" t="s">
        <v>572</v>
      </c>
      <c r="O85" s="8" t="s">
        <v>573</v>
      </c>
      <c r="P85" s="8" t="n">
        <f aca="false">IFERROR(VLOOKUP($A85,BOM!$A$2:$E$54,5,0),0)</f>
        <v>2</v>
      </c>
      <c r="Q85" s="8" t="n">
        <f aca="false">CEILING($P85*Assumptions!$B$4/$D85,1)</f>
        <v>2</v>
      </c>
      <c r="R85" s="8" t="n">
        <f aca="false">CEILING($P85*Assumptions!$B$5/$D85,1)</f>
        <v>20</v>
      </c>
      <c r="S85" s="8" t="n">
        <f aca="false">CEILING($P85*Assumptions!$B$6/$D85,1)</f>
        <v>200</v>
      </c>
      <c r="T85" s="7" t="n">
        <f aca="false">IF(ISNUMBER($E85),IF(AND(ISNUMBER($I85),ISNUMBER($H85)),IF($H85&lt;=$Q85,$I85,IF(AND(ISNUMBER($G85),ISNUMBER($F85)),IF($F85&lt;=$Q85,$G85,$E85),$E85)),IF(AND(ISNUMBER($G85),ISNUMBER($F85)),IF($F85&lt;=$Q85,$G85,$E85),$E85))*(1+IF($J85="Y",0,Assumptions!$B$3)),"")</f>
        <v>1.903</v>
      </c>
      <c r="U85" s="7" t="n">
        <f aca="false">IF(ISNUMBER($E85),IF(AND(ISNUMBER($I85),ISNUMBER($H85)),IF($H85&lt;=$R85,$I85,IF(AND(ISNUMBER($G85),ISNUMBER($F85)),IF($F85&lt;=$R85,$G85,$E85),$E85)),IF(AND(ISNUMBER($G85),ISNUMBER($F85)),IF($F85&lt;=$R85,$G85,$E85),$E85))*(1+IF($J85="Y",0,Assumptions!$B$3)),"")</f>
        <v>1.837</v>
      </c>
      <c r="V85" s="7" t="n">
        <f aca="false">IF(ISNUMBER($E85),IF(AND(ISNUMBER($I85),ISNUMBER($H85)),IF($H85&lt;=$S85,$I85,IF(AND(ISNUMBER($G85),ISNUMBER($F85)),IF($F85&lt;=$S85,$G85,$E85),$E85)),IF(AND(ISNUMBER($G85),ISNUMBER($F85)),IF($F85&lt;=$S85,$G85,$E85),$E85))*(1+IF($J85="Y",0,Assumptions!$B$3)),"")</f>
        <v>1.804</v>
      </c>
      <c r="W85" s="7" t="n">
        <f aca="false">IF(ISNUMBER($T85),$Q85*$T85/Assumptions!$B$4,"")</f>
        <v>3.806</v>
      </c>
      <c r="X85" s="7" t="n">
        <f aca="false">IF(ISNUMBER($U85),$R85*$U85/Assumptions!$B$5,"")</f>
        <v>3.674</v>
      </c>
      <c r="Y85" s="7" t="n">
        <f aca="false">IF(ISNUMBER($V85),$S85*$V85/Assumptions!$B$6,"")</f>
        <v>3.608</v>
      </c>
      <c r="Z85" s="8" t="str">
        <f aca="false">$A85&amp;"|"&amp;IF(ISNUMBER($W85),TEXT($W85,"0.0000"),"x")&amp;"|"&amp;$L85</f>
        <v>SW2|3.8060|Y</v>
      </c>
      <c r="AA85" s="8" t="str">
        <f aca="false">$A85&amp;"|"&amp;IF(ISNUMBER($Y85),TEXT($Y85,"0.0000"),"x")&amp;"|"&amp;$L85</f>
        <v>SW2|3.6080|Y</v>
      </c>
    </row>
    <row r="86" customFormat="false" ht="15" hidden="false" customHeight="false" outlineLevel="0" collapsed="false">
      <c r="A86" s="8" t="s">
        <v>195</v>
      </c>
      <c r="B86" s="8" t="s">
        <v>514</v>
      </c>
      <c r="C86" s="8" t="s">
        <v>574</v>
      </c>
      <c r="D86" s="12" t="n">
        <v>1</v>
      </c>
      <c r="E86" s="14" t="n">
        <v>2</v>
      </c>
      <c r="F86" s="12" t="n">
        <v>10</v>
      </c>
      <c r="G86" s="14" t="n">
        <v>1.8</v>
      </c>
      <c r="H86" s="12" t="n">
        <v>25</v>
      </c>
      <c r="I86" s="14" t="n">
        <v>1.6</v>
      </c>
      <c r="J86" s="12" t="s">
        <v>265</v>
      </c>
      <c r="K86" s="8" t="s">
        <v>516</v>
      </c>
      <c r="L86" s="12" t="s">
        <v>265</v>
      </c>
      <c r="M86" s="8" t="s">
        <v>35</v>
      </c>
      <c r="N86" s="15" t="s">
        <v>575</v>
      </c>
      <c r="O86" s="8" t="s">
        <v>576</v>
      </c>
      <c r="P86" s="8" t="n">
        <f aca="false">IFERROR(VLOOKUP($A86,BOM!$A$2:$E$54,5,0),0)</f>
        <v>2</v>
      </c>
      <c r="Q86" s="8" t="n">
        <f aca="false">CEILING($P86*Assumptions!$B$4/$D86,1)</f>
        <v>2</v>
      </c>
      <c r="R86" s="8" t="n">
        <f aca="false">CEILING($P86*Assumptions!$B$5/$D86,1)</f>
        <v>20</v>
      </c>
      <c r="S86" s="8" t="n">
        <f aca="false">CEILING($P86*Assumptions!$B$6/$D86,1)</f>
        <v>200</v>
      </c>
      <c r="T86" s="7" t="n">
        <f aca="false">IF(ISNUMBER($E86),IF(AND(ISNUMBER($I86),ISNUMBER($H86)),IF($H86&lt;=$Q86,$I86,IF(AND(ISNUMBER($G86),ISNUMBER($F86)),IF($F86&lt;=$Q86,$G86,$E86),$E86)),IF(AND(ISNUMBER($G86),ISNUMBER($F86)),IF($F86&lt;=$Q86,$G86,$E86),$E86))*(1+IF($J86="Y",0,Assumptions!$B$3)),"")</f>
        <v>2</v>
      </c>
      <c r="U86" s="7" t="n">
        <f aca="false">IF(ISNUMBER($E86),IF(AND(ISNUMBER($I86),ISNUMBER($H86)),IF($H86&lt;=$R86,$I86,IF(AND(ISNUMBER($G86),ISNUMBER($F86)),IF($F86&lt;=$R86,$G86,$E86),$E86)),IF(AND(ISNUMBER($G86),ISNUMBER($F86)),IF($F86&lt;=$R86,$G86,$E86),$E86))*(1+IF($J86="Y",0,Assumptions!$B$3)),"")</f>
        <v>1.8</v>
      </c>
      <c r="V86" s="7" t="n">
        <f aca="false">IF(ISNUMBER($E86),IF(AND(ISNUMBER($I86),ISNUMBER($H86)),IF($H86&lt;=$S86,$I86,IF(AND(ISNUMBER($G86),ISNUMBER($F86)),IF($F86&lt;=$S86,$G86,$E86),$E86)),IF(AND(ISNUMBER($G86),ISNUMBER($F86)),IF($F86&lt;=$S86,$G86,$E86),$E86))*(1+IF($J86="Y",0,Assumptions!$B$3)),"")</f>
        <v>1.6</v>
      </c>
      <c r="W86" s="7" t="n">
        <f aca="false">IF(ISNUMBER($T86),$Q86*$T86/Assumptions!$B$4,"")</f>
        <v>4</v>
      </c>
      <c r="X86" s="7" t="n">
        <f aca="false">IF(ISNUMBER($U86),$R86*$U86/Assumptions!$B$5,"")</f>
        <v>3.6</v>
      </c>
      <c r="Y86" s="7" t="n">
        <f aca="false">IF(ISNUMBER($V86),$S86*$V86/Assumptions!$B$6,"")</f>
        <v>3.2</v>
      </c>
      <c r="Z86" s="8" t="str">
        <f aca="false">$A86&amp;"|"&amp;IF(ISNUMBER($W86),TEXT($W86,"0.0000"),"x")&amp;"|"&amp;$L86</f>
        <v>SW2|4.0000|Y</v>
      </c>
      <c r="AA86" s="8" t="str">
        <f aca="false">$A86&amp;"|"&amp;IF(ISNUMBER($Y86),TEXT($Y86,"0.0000"),"x")&amp;"|"&amp;$L86</f>
        <v>SW2|3.2000|Y</v>
      </c>
    </row>
    <row r="87" customFormat="false" ht="15" hidden="false" customHeight="false" outlineLevel="0" collapsed="false">
      <c r="A87" s="8" t="s">
        <v>198</v>
      </c>
      <c r="B87" s="8" t="s">
        <v>284</v>
      </c>
      <c r="C87" s="8" t="s">
        <v>577</v>
      </c>
      <c r="D87" s="12" t="n">
        <v>1</v>
      </c>
      <c r="E87" s="14" t="n">
        <v>3.36</v>
      </c>
      <c r="F87" s="12" t="n">
        <v>5</v>
      </c>
      <c r="G87" s="14" t="n">
        <v>3.26</v>
      </c>
      <c r="H87" s="12" t="n">
        <v>100</v>
      </c>
      <c r="I87" s="14" t="n">
        <v>3.06</v>
      </c>
      <c r="J87" s="12" t="s">
        <v>263</v>
      </c>
      <c r="K87" s="8" t="s">
        <v>578</v>
      </c>
      <c r="L87" s="12" t="s">
        <v>265</v>
      </c>
      <c r="M87" s="8" t="s">
        <v>35</v>
      </c>
      <c r="N87" s="15" t="s">
        <v>579</v>
      </c>
      <c r="O87" s="8" t="s">
        <v>580</v>
      </c>
      <c r="P87" s="8" t="n">
        <f aca="false">IFERROR(VLOOKUP($A87,BOM!$A$2:$E$54,5,0),0)</f>
        <v>3</v>
      </c>
      <c r="Q87" s="8" t="n">
        <f aca="false">CEILING($P87*Assumptions!$B$4/$D87,1)</f>
        <v>3</v>
      </c>
      <c r="R87" s="8" t="n">
        <f aca="false">CEILING($P87*Assumptions!$B$5/$D87,1)</f>
        <v>30</v>
      </c>
      <c r="S87" s="8" t="n">
        <f aca="false">CEILING($P87*Assumptions!$B$6/$D87,1)</f>
        <v>300</v>
      </c>
      <c r="T87" s="7" t="n">
        <f aca="false">IF(ISNUMBER($E87),IF(AND(ISNUMBER($I87),ISNUMBER($H87)),IF($H87&lt;=$Q87,$I87,IF(AND(ISNUMBER($G87),ISNUMBER($F87)),IF($F87&lt;=$Q87,$G87,$E87),$E87)),IF(AND(ISNUMBER($G87),ISNUMBER($F87)),IF($F87&lt;=$Q87,$G87,$E87),$E87))*(1+IF($J87="Y",0,Assumptions!$B$3)),"")</f>
        <v>3.696</v>
      </c>
      <c r="U87" s="7" t="n">
        <f aca="false">IF(ISNUMBER($E87),IF(AND(ISNUMBER($I87),ISNUMBER($H87)),IF($H87&lt;=$R87,$I87,IF(AND(ISNUMBER($G87),ISNUMBER($F87)),IF($F87&lt;=$R87,$G87,$E87),$E87)),IF(AND(ISNUMBER($G87),ISNUMBER($F87)),IF($F87&lt;=$R87,$G87,$E87),$E87))*(1+IF($J87="Y",0,Assumptions!$B$3)),"")</f>
        <v>3.586</v>
      </c>
      <c r="V87" s="7" t="n">
        <f aca="false">IF(ISNUMBER($E87),IF(AND(ISNUMBER($I87),ISNUMBER($H87)),IF($H87&lt;=$S87,$I87,IF(AND(ISNUMBER($G87),ISNUMBER($F87)),IF($F87&lt;=$S87,$G87,$E87),$E87)),IF(AND(ISNUMBER($G87),ISNUMBER($F87)),IF($F87&lt;=$S87,$G87,$E87),$E87))*(1+IF($J87="Y",0,Assumptions!$B$3)),"")</f>
        <v>3.366</v>
      </c>
      <c r="W87" s="7" t="n">
        <f aca="false">IF(ISNUMBER($T87),$Q87*$T87/Assumptions!$B$4,"")</f>
        <v>11.088</v>
      </c>
      <c r="X87" s="7" t="n">
        <f aca="false">IF(ISNUMBER($U87),$R87*$U87/Assumptions!$B$5,"")</f>
        <v>10.758</v>
      </c>
      <c r="Y87" s="7" t="n">
        <f aca="false">IF(ISNUMBER($V87),$S87*$V87/Assumptions!$B$6,"")</f>
        <v>10.098</v>
      </c>
      <c r="Z87" s="8" t="str">
        <f aca="false">$A87&amp;"|"&amp;IF(ISNUMBER($W87),TEXT($W87,"0.0000"),"x")&amp;"|"&amp;$L87</f>
        <v>SW3|11.0880|Y</v>
      </c>
      <c r="AA87" s="8" t="str">
        <f aca="false">$A87&amp;"|"&amp;IF(ISNUMBER($Y87),TEXT($Y87,"0.0000"),"x")&amp;"|"&amp;$L87</f>
        <v>SW3|10.0980|Y</v>
      </c>
    </row>
    <row r="88" customFormat="false" ht="15" hidden="false" customHeight="false" outlineLevel="0" collapsed="false">
      <c r="A88" s="8" t="s">
        <v>198</v>
      </c>
      <c r="B88" s="8" t="s">
        <v>514</v>
      </c>
      <c r="C88" s="8" t="s">
        <v>581</v>
      </c>
      <c r="D88" s="12" t="n">
        <v>1</v>
      </c>
      <c r="E88" s="14" t="n">
        <v>3.6</v>
      </c>
      <c r="F88" s="12"/>
      <c r="G88" s="14"/>
      <c r="H88" s="12"/>
      <c r="I88" s="14"/>
      <c r="J88" s="12" t="s">
        <v>265</v>
      </c>
      <c r="K88" s="8" t="s">
        <v>516</v>
      </c>
      <c r="L88" s="12" t="s">
        <v>265</v>
      </c>
      <c r="M88" s="8" t="s">
        <v>35</v>
      </c>
      <c r="N88" s="15" t="s">
        <v>582</v>
      </c>
      <c r="O88" s="8" t="s">
        <v>583</v>
      </c>
      <c r="P88" s="8" t="n">
        <f aca="false">IFERROR(VLOOKUP($A88,BOM!$A$2:$E$54,5,0),0)</f>
        <v>3</v>
      </c>
      <c r="Q88" s="8" t="n">
        <f aca="false">CEILING($P88*Assumptions!$B$4/$D88,1)</f>
        <v>3</v>
      </c>
      <c r="R88" s="8" t="n">
        <f aca="false">CEILING($P88*Assumptions!$B$5/$D88,1)</f>
        <v>30</v>
      </c>
      <c r="S88" s="8" t="n">
        <f aca="false">CEILING($P88*Assumptions!$B$6/$D88,1)</f>
        <v>300</v>
      </c>
      <c r="T88" s="7" t="n">
        <f aca="false">IF(ISNUMBER($E88),IF(AND(ISNUMBER($I88),ISNUMBER($H88)),IF($H88&lt;=$Q88,$I88,IF(AND(ISNUMBER($G88),ISNUMBER($F88)),IF($F88&lt;=$Q88,$G88,$E88),$E88)),IF(AND(ISNUMBER($G88),ISNUMBER($F88)),IF($F88&lt;=$Q88,$G88,$E88),$E88))*(1+IF($J88="Y",0,Assumptions!$B$3)),"")</f>
        <v>3.6</v>
      </c>
      <c r="U88" s="7" t="n">
        <f aca="false">IF(ISNUMBER($E88),IF(AND(ISNUMBER($I88),ISNUMBER($H88)),IF($H88&lt;=$R88,$I88,IF(AND(ISNUMBER($G88),ISNUMBER($F88)),IF($F88&lt;=$R88,$G88,$E88),$E88)),IF(AND(ISNUMBER($G88),ISNUMBER($F88)),IF($F88&lt;=$R88,$G88,$E88),$E88))*(1+IF($J88="Y",0,Assumptions!$B$3)),"")</f>
        <v>3.6</v>
      </c>
      <c r="V88" s="7" t="n">
        <f aca="false">IF(ISNUMBER($E88),IF(AND(ISNUMBER($I88),ISNUMBER($H88)),IF($H88&lt;=$S88,$I88,IF(AND(ISNUMBER($G88),ISNUMBER($F88)),IF($F88&lt;=$S88,$G88,$E88),$E88)),IF(AND(ISNUMBER($G88),ISNUMBER($F88)),IF($F88&lt;=$S88,$G88,$E88),$E88))*(1+IF($J88="Y",0,Assumptions!$B$3)),"")</f>
        <v>3.6</v>
      </c>
      <c r="W88" s="7" t="n">
        <f aca="false">IF(ISNUMBER($T88),$Q88*$T88/Assumptions!$B$4,"")</f>
        <v>10.8</v>
      </c>
      <c r="X88" s="7" t="n">
        <f aca="false">IF(ISNUMBER($U88),$R88*$U88/Assumptions!$B$5,"")</f>
        <v>10.8</v>
      </c>
      <c r="Y88" s="7" t="n">
        <f aca="false">IF(ISNUMBER($V88),$S88*$V88/Assumptions!$B$6,"")</f>
        <v>10.8</v>
      </c>
      <c r="Z88" s="8" t="str">
        <f aca="false">$A88&amp;"|"&amp;IF(ISNUMBER($W88),TEXT($W88,"0.0000"),"x")&amp;"|"&amp;$L88</f>
        <v>SW3|10.8000|Y</v>
      </c>
      <c r="AA88" s="8" t="str">
        <f aca="false">$A88&amp;"|"&amp;IF(ISNUMBER($Y88),TEXT($Y88,"0.0000"),"x")&amp;"|"&amp;$L88</f>
        <v>SW3|10.8000|Y</v>
      </c>
    </row>
    <row r="89" customFormat="false" ht="15" hidden="false" customHeight="false" outlineLevel="0" collapsed="false">
      <c r="A89" s="8" t="s">
        <v>201</v>
      </c>
      <c r="B89" s="8" t="s">
        <v>514</v>
      </c>
      <c r="C89" s="8" t="s">
        <v>584</v>
      </c>
      <c r="D89" s="12" t="n">
        <v>1</v>
      </c>
      <c r="E89" s="14" t="n">
        <v>2.95</v>
      </c>
      <c r="F89" s="12"/>
      <c r="G89" s="14"/>
      <c r="H89" s="12"/>
      <c r="I89" s="14"/>
      <c r="J89" s="12" t="s">
        <v>265</v>
      </c>
      <c r="K89" s="8" t="s">
        <v>516</v>
      </c>
      <c r="L89" s="12" t="s">
        <v>265</v>
      </c>
      <c r="M89" s="8" t="s">
        <v>35</v>
      </c>
      <c r="N89" s="15" t="s">
        <v>585</v>
      </c>
      <c r="O89" s="8" t="s">
        <v>586</v>
      </c>
      <c r="P89" s="8" t="n">
        <f aca="false">IFERROR(VLOOKUP($A89,BOM!$A$2:$E$54,5,0),0)</f>
        <v>1</v>
      </c>
      <c r="Q89" s="8" t="n">
        <f aca="false">CEILING($P89*Assumptions!$B$4/$D89,1)</f>
        <v>1</v>
      </c>
      <c r="R89" s="8" t="n">
        <f aca="false">CEILING($P89*Assumptions!$B$5/$D89,1)</f>
        <v>10</v>
      </c>
      <c r="S89" s="8" t="n">
        <f aca="false">CEILING($P89*Assumptions!$B$6/$D89,1)</f>
        <v>100</v>
      </c>
      <c r="T89" s="7" t="n">
        <f aca="false">IF(ISNUMBER($E89),IF(AND(ISNUMBER($I89),ISNUMBER($H89)),IF($H89&lt;=$Q89,$I89,IF(AND(ISNUMBER($G89),ISNUMBER($F89)),IF($F89&lt;=$Q89,$G89,$E89),$E89)),IF(AND(ISNUMBER($G89),ISNUMBER($F89)),IF($F89&lt;=$Q89,$G89,$E89),$E89))*(1+IF($J89="Y",0,Assumptions!$B$3)),"")</f>
        <v>2.95</v>
      </c>
      <c r="U89" s="7" t="n">
        <f aca="false">IF(ISNUMBER($E89),IF(AND(ISNUMBER($I89),ISNUMBER($H89)),IF($H89&lt;=$R89,$I89,IF(AND(ISNUMBER($G89),ISNUMBER($F89)),IF($F89&lt;=$R89,$G89,$E89),$E89)),IF(AND(ISNUMBER($G89),ISNUMBER($F89)),IF($F89&lt;=$R89,$G89,$E89),$E89))*(1+IF($J89="Y",0,Assumptions!$B$3)),"")</f>
        <v>2.95</v>
      </c>
      <c r="V89" s="7" t="n">
        <f aca="false">IF(ISNUMBER($E89),IF(AND(ISNUMBER($I89),ISNUMBER($H89)),IF($H89&lt;=$S89,$I89,IF(AND(ISNUMBER($G89),ISNUMBER($F89)),IF($F89&lt;=$S89,$G89,$E89),$E89)),IF(AND(ISNUMBER($G89),ISNUMBER($F89)),IF($F89&lt;=$S89,$G89,$E89),$E89))*(1+IF($J89="Y",0,Assumptions!$B$3)),"")</f>
        <v>2.95</v>
      </c>
      <c r="W89" s="7" t="n">
        <f aca="false">IF(ISNUMBER($T89),$Q89*$T89/Assumptions!$B$4,"")</f>
        <v>2.95</v>
      </c>
      <c r="X89" s="7" t="n">
        <f aca="false">IF(ISNUMBER($U89),$R89*$U89/Assumptions!$B$5,"")</f>
        <v>2.95</v>
      </c>
      <c r="Y89" s="7" t="n">
        <f aca="false">IF(ISNUMBER($V89),$S89*$V89/Assumptions!$B$6,"")</f>
        <v>2.95</v>
      </c>
      <c r="Z89" s="8" t="str">
        <f aca="false">$A89&amp;"|"&amp;IF(ISNUMBER($W89),TEXT($W89,"0.0000"),"x")&amp;"|"&amp;$L89</f>
        <v>SW4|2.9500|Y</v>
      </c>
      <c r="AA89" s="8" t="str">
        <f aca="false">$A89&amp;"|"&amp;IF(ISNUMBER($Y89),TEXT($Y89,"0.0000"),"x")&amp;"|"&amp;$L89</f>
        <v>SW4|2.9500|Y</v>
      </c>
    </row>
    <row r="90" customFormat="false" ht="15" hidden="false" customHeight="false" outlineLevel="0" collapsed="false">
      <c r="A90" s="8" t="s">
        <v>201</v>
      </c>
      <c r="B90" s="8" t="s">
        <v>587</v>
      </c>
      <c r="C90" s="8" t="s">
        <v>588</v>
      </c>
      <c r="D90" s="12" t="n">
        <v>1</v>
      </c>
      <c r="E90" s="14" t="n">
        <v>1.9</v>
      </c>
      <c r="F90" s="12" t="n">
        <v>10</v>
      </c>
      <c r="G90" s="14" t="n">
        <v>1.65</v>
      </c>
      <c r="H90" s="12" t="n">
        <v>25</v>
      </c>
      <c r="I90" s="14" t="n">
        <v>1.5</v>
      </c>
      <c r="J90" s="12" t="s">
        <v>265</v>
      </c>
      <c r="K90" s="8" t="s">
        <v>270</v>
      </c>
      <c r="L90" s="12" t="s">
        <v>265</v>
      </c>
      <c r="M90" s="8" t="s">
        <v>35</v>
      </c>
      <c r="N90" s="15" t="s">
        <v>589</v>
      </c>
      <c r="O90" s="8" t="s">
        <v>590</v>
      </c>
      <c r="P90" s="8" t="n">
        <f aca="false">IFERROR(VLOOKUP($A90,BOM!$A$2:$E$54,5,0),0)</f>
        <v>1</v>
      </c>
      <c r="Q90" s="8" t="n">
        <f aca="false">CEILING($P90*Assumptions!$B$4/$D90,1)</f>
        <v>1</v>
      </c>
      <c r="R90" s="8" t="n">
        <f aca="false">CEILING($P90*Assumptions!$B$5/$D90,1)</f>
        <v>10</v>
      </c>
      <c r="S90" s="8" t="n">
        <f aca="false">CEILING($P90*Assumptions!$B$6/$D90,1)</f>
        <v>100</v>
      </c>
      <c r="T90" s="7" t="n">
        <f aca="false">IF(ISNUMBER($E90),IF(AND(ISNUMBER($I90),ISNUMBER($H90)),IF($H90&lt;=$Q90,$I90,IF(AND(ISNUMBER($G90),ISNUMBER($F90)),IF($F90&lt;=$Q90,$G90,$E90),$E90)),IF(AND(ISNUMBER($G90),ISNUMBER($F90)),IF($F90&lt;=$Q90,$G90,$E90),$E90))*(1+IF($J90="Y",0,Assumptions!$B$3)),"")</f>
        <v>1.9</v>
      </c>
      <c r="U90" s="7" t="n">
        <f aca="false">IF(ISNUMBER($E90),IF(AND(ISNUMBER($I90),ISNUMBER($H90)),IF($H90&lt;=$R90,$I90,IF(AND(ISNUMBER($G90),ISNUMBER($F90)),IF($F90&lt;=$R90,$G90,$E90),$E90)),IF(AND(ISNUMBER($G90),ISNUMBER($F90)),IF($F90&lt;=$R90,$G90,$E90),$E90))*(1+IF($J90="Y",0,Assumptions!$B$3)),"")</f>
        <v>1.65</v>
      </c>
      <c r="V90" s="7" t="n">
        <f aca="false">IF(ISNUMBER($E90),IF(AND(ISNUMBER($I90),ISNUMBER($H90)),IF($H90&lt;=$S90,$I90,IF(AND(ISNUMBER($G90),ISNUMBER($F90)),IF($F90&lt;=$S90,$G90,$E90),$E90)),IF(AND(ISNUMBER($G90),ISNUMBER($F90)),IF($F90&lt;=$S90,$G90,$E90),$E90))*(1+IF($J90="Y",0,Assumptions!$B$3)),"")</f>
        <v>1.5</v>
      </c>
      <c r="W90" s="7" t="n">
        <f aca="false">IF(ISNUMBER($T90),$Q90*$T90/Assumptions!$B$4,"")</f>
        <v>1.9</v>
      </c>
      <c r="X90" s="7" t="n">
        <f aca="false">IF(ISNUMBER($U90),$R90*$U90/Assumptions!$B$5,"")</f>
        <v>1.65</v>
      </c>
      <c r="Y90" s="7" t="n">
        <f aca="false">IF(ISNUMBER($V90),$S90*$V90/Assumptions!$B$6,"")</f>
        <v>1.5</v>
      </c>
      <c r="Z90" s="8" t="str">
        <f aca="false">$A90&amp;"|"&amp;IF(ISNUMBER($W90),TEXT($W90,"0.0000"),"x")&amp;"|"&amp;$L90</f>
        <v>SW4|1.9000|Y</v>
      </c>
      <c r="AA90" s="8" t="str">
        <f aca="false">$A90&amp;"|"&amp;IF(ISNUMBER($Y90),TEXT($Y90,"0.0000"),"x")&amp;"|"&amp;$L90</f>
        <v>SW4|1.5000|Y</v>
      </c>
    </row>
    <row r="91" customFormat="false" ht="15" hidden="false" customHeight="false" outlineLevel="0" collapsed="false">
      <c r="A91" s="8" t="s">
        <v>204</v>
      </c>
      <c r="B91" s="8" t="s">
        <v>284</v>
      </c>
      <c r="C91" s="8" t="s">
        <v>591</v>
      </c>
      <c r="D91" s="12" t="n">
        <v>1</v>
      </c>
      <c r="E91" s="14" t="n">
        <v>3.59</v>
      </c>
      <c r="F91" s="12" t="n">
        <v>25</v>
      </c>
      <c r="G91" s="14" t="n">
        <v>3.41</v>
      </c>
      <c r="H91" s="12" t="n">
        <v>100</v>
      </c>
      <c r="I91" s="14" t="n">
        <v>3.05</v>
      </c>
      <c r="J91" s="12" t="s">
        <v>263</v>
      </c>
      <c r="K91" s="8" t="s">
        <v>592</v>
      </c>
      <c r="L91" s="12" t="s">
        <v>265</v>
      </c>
      <c r="M91" s="8" t="s">
        <v>35</v>
      </c>
      <c r="N91" s="15" t="s">
        <v>593</v>
      </c>
      <c r="O91" s="8" t="s">
        <v>594</v>
      </c>
      <c r="P91" s="8" t="n">
        <f aca="false">IFERROR(VLOOKUP($A91,BOM!$A$2:$E$54,5,0),0)</f>
        <v>18</v>
      </c>
      <c r="Q91" s="8" t="n">
        <f aca="false">CEILING($P91*Assumptions!$B$4/$D91,1)</f>
        <v>18</v>
      </c>
      <c r="R91" s="8" t="n">
        <f aca="false">CEILING($P91*Assumptions!$B$5/$D91,1)</f>
        <v>180</v>
      </c>
      <c r="S91" s="8" t="n">
        <f aca="false">CEILING($P91*Assumptions!$B$6/$D91,1)</f>
        <v>1800</v>
      </c>
      <c r="T91" s="7" t="n">
        <f aca="false">IF(ISNUMBER($E91),IF(AND(ISNUMBER($I91),ISNUMBER($H91)),IF($H91&lt;=$Q91,$I91,IF(AND(ISNUMBER($G91),ISNUMBER($F91)),IF($F91&lt;=$Q91,$G91,$E91),$E91)),IF(AND(ISNUMBER($G91),ISNUMBER($F91)),IF($F91&lt;=$Q91,$G91,$E91),$E91))*(1+IF($J91="Y",0,Assumptions!$B$3)),"")</f>
        <v>3.949</v>
      </c>
      <c r="U91" s="7" t="n">
        <f aca="false">IF(ISNUMBER($E91),IF(AND(ISNUMBER($I91),ISNUMBER($H91)),IF($H91&lt;=$R91,$I91,IF(AND(ISNUMBER($G91),ISNUMBER($F91)),IF($F91&lt;=$R91,$G91,$E91),$E91)),IF(AND(ISNUMBER($G91),ISNUMBER($F91)),IF($F91&lt;=$R91,$G91,$E91),$E91))*(1+IF($J91="Y",0,Assumptions!$B$3)),"")</f>
        <v>3.355</v>
      </c>
      <c r="V91" s="7" t="n">
        <f aca="false">IF(ISNUMBER($E91),IF(AND(ISNUMBER($I91),ISNUMBER($H91)),IF($H91&lt;=$S91,$I91,IF(AND(ISNUMBER($G91),ISNUMBER($F91)),IF($F91&lt;=$S91,$G91,$E91),$E91)),IF(AND(ISNUMBER($G91),ISNUMBER($F91)),IF($F91&lt;=$S91,$G91,$E91),$E91))*(1+IF($J91="Y",0,Assumptions!$B$3)),"")</f>
        <v>3.355</v>
      </c>
      <c r="W91" s="7" t="n">
        <f aca="false">IF(ISNUMBER($T91),$Q91*$T91/Assumptions!$B$4,"")</f>
        <v>71.082</v>
      </c>
      <c r="X91" s="7" t="n">
        <f aca="false">IF(ISNUMBER($U91),$R91*$U91/Assumptions!$B$5,"")</f>
        <v>60.39</v>
      </c>
      <c r="Y91" s="7" t="n">
        <f aca="false">IF(ISNUMBER($V91),$S91*$V91/Assumptions!$B$6,"")</f>
        <v>60.39</v>
      </c>
      <c r="Z91" s="8" t="str">
        <f aca="false">$A91&amp;"|"&amp;IF(ISNUMBER($W91),TEXT($W91,"0.0000"),"x")&amp;"|"&amp;$L91</f>
        <v>BB01|71.0820|Y</v>
      </c>
      <c r="AA91" s="8" t="str">
        <f aca="false">$A91&amp;"|"&amp;IF(ISNUMBER($Y91),TEXT($Y91,"0.0000"),"x")&amp;"|"&amp;$L91</f>
        <v>BB01|60.3900|Y</v>
      </c>
    </row>
    <row r="92" customFormat="false" ht="15" hidden="false" customHeight="false" outlineLevel="0" collapsed="false">
      <c r="A92" s="8" t="s">
        <v>204</v>
      </c>
      <c r="B92" s="8" t="s">
        <v>514</v>
      </c>
      <c r="C92" s="8" t="s">
        <v>595</v>
      </c>
      <c r="D92" s="12" t="n">
        <v>1</v>
      </c>
      <c r="E92" s="14" t="n">
        <v>20.95</v>
      </c>
      <c r="F92" s="12" t="n">
        <v>6</v>
      </c>
      <c r="G92" s="14" t="n">
        <v>16.45</v>
      </c>
      <c r="H92" s="12"/>
      <c r="I92" s="14"/>
      <c r="J92" s="12" t="s">
        <v>265</v>
      </c>
      <c r="K92" s="8" t="s">
        <v>516</v>
      </c>
      <c r="L92" s="12" t="s">
        <v>265</v>
      </c>
      <c r="M92" s="8" t="s">
        <v>35</v>
      </c>
      <c r="N92" s="15" t="s">
        <v>596</v>
      </c>
      <c r="O92" s="8" t="s">
        <v>597</v>
      </c>
      <c r="P92" s="8" t="n">
        <f aca="false">IFERROR(VLOOKUP($A92,BOM!$A$2:$E$54,5,0),0)</f>
        <v>18</v>
      </c>
      <c r="Q92" s="8" t="n">
        <f aca="false">CEILING($P92*Assumptions!$B$4/$D92,1)</f>
        <v>18</v>
      </c>
      <c r="R92" s="8" t="n">
        <f aca="false">CEILING($P92*Assumptions!$B$5/$D92,1)</f>
        <v>180</v>
      </c>
      <c r="S92" s="8" t="n">
        <f aca="false">CEILING($P92*Assumptions!$B$6/$D92,1)</f>
        <v>1800</v>
      </c>
      <c r="T92" s="7" t="n">
        <f aca="false">IF(ISNUMBER($E92),IF(AND(ISNUMBER($I92),ISNUMBER($H92)),IF($H92&lt;=$Q92,$I92,IF(AND(ISNUMBER($G92),ISNUMBER($F92)),IF($F92&lt;=$Q92,$G92,$E92),$E92)),IF(AND(ISNUMBER($G92),ISNUMBER($F92)),IF($F92&lt;=$Q92,$G92,$E92),$E92))*(1+IF($J92="Y",0,Assumptions!$B$3)),"")</f>
        <v>16.45</v>
      </c>
      <c r="U92" s="7" t="n">
        <f aca="false">IF(ISNUMBER($E92),IF(AND(ISNUMBER($I92),ISNUMBER($H92)),IF($H92&lt;=$R92,$I92,IF(AND(ISNUMBER($G92),ISNUMBER($F92)),IF($F92&lt;=$R92,$G92,$E92),$E92)),IF(AND(ISNUMBER($G92),ISNUMBER($F92)),IF($F92&lt;=$R92,$G92,$E92),$E92))*(1+IF($J92="Y",0,Assumptions!$B$3)),"")</f>
        <v>16.45</v>
      </c>
      <c r="V92" s="7" t="n">
        <f aca="false">IF(ISNUMBER($E92),IF(AND(ISNUMBER($I92),ISNUMBER($H92)),IF($H92&lt;=$S92,$I92,IF(AND(ISNUMBER($G92),ISNUMBER($F92)),IF($F92&lt;=$S92,$G92,$E92),$E92)),IF(AND(ISNUMBER($G92),ISNUMBER($F92)),IF($F92&lt;=$S92,$G92,$E92),$E92))*(1+IF($J92="Y",0,Assumptions!$B$3)),"")</f>
        <v>16.45</v>
      </c>
      <c r="W92" s="7" t="n">
        <f aca="false">IF(ISNUMBER($T92),$Q92*$T92/Assumptions!$B$4,"")</f>
        <v>296.1</v>
      </c>
      <c r="X92" s="7" t="n">
        <f aca="false">IF(ISNUMBER($U92),$R92*$U92/Assumptions!$B$5,"")</f>
        <v>296.1</v>
      </c>
      <c r="Y92" s="7" t="n">
        <f aca="false">IF(ISNUMBER($V92),$S92*$V92/Assumptions!$B$6,"")</f>
        <v>296.1</v>
      </c>
      <c r="Z92" s="8" t="str">
        <f aca="false">$A92&amp;"|"&amp;IF(ISNUMBER($W92),TEXT($W92,"0.0000"),"x")&amp;"|"&amp;$L92</f>
        <v>BB01|296.1000|Y</v>
      </c>
      <c r="AA92" s="8" t="str">
        <f aca="false">$A92&amp;"|"&amp;IF(ISNUMBER($Y92),TEXT($Y92,"0.0000"),"x")&amp;"|"&amp;$L92</f>
        <v>BB01|296.1000|Y</v>
      </c>
    </row>
    <row r="93" customFormat="false" ht="15" hidden="false" customHeight="false" outlineLevel="0" collapsed="false">
      <c r="A93" s="16" t="s">
        <v>208</v>
      </c>
      <c r="B93" s="16" t="s">
        <v>548</v>
      </c>
      <c r="C93" s="16" t="s">
        <v>598</v>
      </c>
      <c r="D93" s="17" t="n">
        <v>1</v>
      </c>
      <c r="E93" s="18" t="n">
        <v>26.95</v>
      </c>
      <c r="F93" s="17" t="n">
        <v>4</v>
      </c>
      <c r="G93" s="18" t="n">
        <v>21.75</v>
      </c>
      <c r="H93" s="17"/>
      <c r="I93" s="18"/>
      <c r="J93" s="17" t="s">
        <v>265</v>
      </c>
      <c r="K93" s="16" t="s">
        <v>270</v>
      </c>
      <c r="L93" s="17" t="s">
        <v>263</v>
      </c>
      <c r="M93" s="16" t="s">
        <v>35</v>
      </c>
      <c r="N93" s="19" t="s">
        <v>599</v>
      </c>
      <c r="O93" s="16" t="s">
        <v>600</v>
      </c>
      <c r="P93" s="8" t="n">
        <f aca="false">IFERROR(VLOOKUP($A93,BOM!$A$2:$E$54,5,0),0)</f>
        <v>3</v>
      </c>
      <c r="Q93" s="8" t="n">
        <f aca="false">CEILING($P93*Assumptions!$B$4/$D93,1)</f>
        <v>3</v>
      </c>
      <c r="R93" s="8" t="n">
        <f aca="false">CEILING($P93*Assumptions!$B$5/$D93,1)</f>
        <v>30</v>
      </c>
      <c r="S93" s="8" t="n">
        <f aca="false">CEILING($P93*Assumptions!$B$6/$D93,1)</f>
        <v>300</v>
      </c>
      <c r="T93" s="7" t="n">
        <f aca="false">IF(ISNUMBER($E93),IF(AND(ISNUMBER($I93),ISNUMBER($H93)),IF($H93&lt;=$Q93,$I93,IF(AND(ISNUMBER($G93),ISNUMBER($F93)),IF($F93&lt;=$Q93,$G93,$E93),$E93)),IF(AND(ISNUMBER($G93),ISNUMBER($F93)),IF($F93&lt;=$Q93,$G93,$E93),$E93))*(1+IF($J93="Y",0,Assumptions!$B$3)),"")</f>
        <v>26.95</v>
      </c>
      <c r="U93" s="7" t="n">
        <f aca="false">IF(ISNUMBER($E93),IF(AND(ISNUMBER($I93),ISNUMBER($H93)),IF($H93&lt;=$R93,$I93,IF(AND(ISNUMBER($G93),ISNUMBER($F93)),IF($F93&lt;=$R93,$G93,$E93),$E93)),IF(AND(ISNUMBER($G93),ISNUMBER($F93)),IF($F93&lt;=$R93,$G93,$E93),$E93))*(1+IF($J93="Y",0,Assumptions!$B$3)),"")</f>
        <v>21.75</v>
      </c>
      <c r="V93" s="7" t="n">
        <f aca="false">IF(ISNUMBER($E93),IF(AND(ISNUMBER($I93),ISNUMBER($H93)),IF($H93&lt;=$S93,$I93,IF(AND(ISNUMBER($G93),ISNUMBER($F93)),IF($F93&lt;=$S93,$G93,$E93),$E93)),IF(AND(ISNUMBER($G93),ISNUMBER($F93)),IF($F93&lt;=$S93,$G93,$E93),$E93))*(1+IF($J93="Y",0,Assumptions!$B$3)),"")</f>
        <v>21.75</v>
      </c>
      <c r="W93" s="7" t="n">
        <f aca="false">IF(ISNUMBER($T93),$Q93*$T93/Assumptions!$B$4,"")</f>
        <v>80.85</v>
      </c>
      <c r="X93" s="7" t="n">
        <f aca="false">IF(ISNUMBER($U93),$R93*$U93/Assumptions!$B$5,"")</f>
        <v>65.25</v>
      </c>
      <c r="Y93" s="7" t="n">
        <f aca="false">IF(ISNUMBER($V93),$S93*$V93/Assumptions!$B$6,"")</f>
        <v>65.25</v>
      </c>
      <c r="Z93" s="8" t="str">
        <f aca="false">$A93&amp;"|"&amp;IF(ISNUMBER($W93),TEXT($W93,"0.0000"),"x")&amp;"|"&amp;$L93</f>
        <v>W01|80.8500|N</v>
      </c>
      <c r="AA93" s="8" t="str">
        <f aca="false">$A93&amp;"|"&amp;IF(ISNUMBER($Y93),TEXT($Y93,"0.0000"),"x")&amp;"|"&amp;$L93</f>
        <v>W01|65.2500|N</v>
      </c>
    </row>
    <row r="94" customFormat="false" ht="15" hidden="false" customHeight="false" outlineLevel="0" collapsed="false">
      <c r="A94" s="8" t="s">
        <v>208</v>
      </c>
      <c r="B94" s="8" t="s">
        <v>284</v>
      </c>
      <c r="C94" s="8" t="s">
        <v>601</v>
      </c>
      <c r="D94" s="12" t="n">
        <v>1</v>
      </c>
      <c r="E94" s="14" t="n">
        <v>48.91</v>
      </c>
      <c r="F94" s="12" t="n">
        <v>5</v>
      </c>
      <c r="G94" s="14" t="n">
        <v>47.45</v>
      </c>
      <c r="H94" s="12" t="n">
        <v>100</v>
      </c>
      <c r="I94" s="14" t="n">
        <v>44.51</v>
      </c>
      <c r="J94" s="12" t="s">
        <v>263</v>
      </c>
      <c r="K94" s="8" t="s">
        <v>602</v>
      </c>
      <c r="L94" s="12" t="s">
        <v>265</v>
      </c>
      <c r="M94" s="8" t="s">
        <v>35</v>
      </c>
      <c r="N94" s="15" t="s">
        <v>603</v>
      </c>
      <c r="O94" s="8" t="s">
        <v>604</v>
      </c>
      <c r="P94" s="8" t="n">
        <f aca="false">IFERROR(VLOOKUP($A94,BOM!$A$2:$E$54,5,0),0)</f>
        <v>3</v>
      </c>
      <c r="Q94" s="8" t="n">
        <f aca="false">CEILING($P94*Assumptions!$B$4/$D94,1)</f>
        <v>3</v>
      </c>
      <c r="R94" s="8" t="n">
        <f aca="false">CEILING($P94*Assumptions!$B$5/$D94,1)</f>
        <v>30</v>
      </c>
      <c r="S94" s="8" t="n">
        <f aca="false">CEILING($P94*Assumptions!$B$6/$D94,1)</f>
        <v>300</v>
      </c>
      <c r="T94" s="7" t="n">
        <f aca="false">IF(ISNUMBER($E94),IF(AND(ISNUMBER($I94),ISNUMBER($H94)),IF($H94&lt;=$Q94,$I94,IF(AND(ISNUMBER($G94),ISNUMBER($F94)),IF($F94&lt;=$Q94,$G94,$E94),$E94)),IF(AND(ISNUMBER($G94),ISNUMBER($F94)),IF($F94&lt;=$Q94,$G94,$E94),$E94))*(1+IF($J94="Y",0,Assumptions!$B$3)),"")</f>
        <v>53.801</v>
      </c>
      <c r="U94" s="7" t="n">
        <f aca="false">IF(ISNUMBER($E94),IF(AND(ISNUMBER($I94),ISNUMBER($H94)),IF($H94&lt;=$R94,$I94,IF(AND(ISNUMBER($G94),ISNUMBER($F94)),IF($F94&lt;=$R94,$G94,$E94),$E94)),IF(AND(ISNUMBER($G94),ISNUMBER($F94)),IF($F94&lt;=$R94,$G94,$E94),$E94))*(1+IF($J94="Y",0,Assumptions!$B$3)),"")</f>
        <v>52.195</v>
      </c>
      <c r="V94" s="7" t="n">
        <f aca="false">IF(ISNUMBER($E94),IF(AND(ISNUMBER($I94),ISNUMBER($H94)),IF($H94&lt;=$S94,$I94,IF(AND(ISNUMBER($G94),ISNUMBER($F94)),IF($F94&lt;=$S94,$G94,$E94),$E94)),IF(AND(ISNUMBER($G94),ISNUMBER($F94)),IF($F94&lt;=$S94,$G94,$E94),$E94))*(1+IF($J94="Y",0,Assumptions!$B$3)),"")</f>
        <v>48.961</v>
      </c>
      <c r="W94" s="7" t="n">
        <f aca="false">IF(ISNUMBER($T94),$Q94*$T94/Assumptions!$B$4,"")</f>
        <v>161.403</v>
      </c>
      <c r="X94" s="7" t="n">
        <f aca="false">IF(ISNUMBER($U94),$R94*$U94/Assumptions!$B$5,"")</f>
        <v>156.585</v>
      </c>
      <c r="Y94" s="7" t="n">
        <f aca="false">IF(ISNUMBER($V94),$S94*$V94/Assumptions!$B$6,"")</f>
        <v>146.883</v>
      </c>
      <c r="Z94" s="8" t="str">
        <f aca="false">$A94&amp;"|"&amp;IF(ISNUMBER($W94),TEXT($W94,"0.0000"),"x")&amp;"|"&amp;$L94</f>
        <v>W01|161.4030|Y</v>
      </c>
      <c r="AA94" s="8" t="str">
        <f aca="false">$A94&amp;"|"&amp;IF(ISNUMBER($Y94),TEXT($Y94,"0.0000"),"x")&amp;"|"&amp;$L94</f>
        <v>W01|146.8830|Y</v>
      </c>
    </row>
    <row r="95" customFormat="false" ht="15" hidden="false" customHeight="false" outlineLevel="0" collapsed="false">
      <c r="A95" s="8" t="s">
        <v>211</v>
      </c>
      <c r="B95" s="8" t="s">
        <v>284</v>
      </c>
      <c r="C95" s="8" t="s">
        <v>605</v>
      </c>
      <c r="D95" s="12" t="n">
        <v>1</v>
      </c>
      <c r="E95" s="14" t="n">
        <v>9.27</v>
      </c>
      <c r="F95" s="12" t="n">
        <v>10</v>
      </c>
      <c r="G95" s="14" t="n">
        <v>8.99</v>
      </c>
      <c r="H95" s="12" t="n">
        <v>50</v>
      </c>
      <c r="I95" s="14" t="n">
        <v>8.81</v>
      </c>
      <c r="J95" s="12" t="s">
        <v>263</v>
      </c>
      <c r="K95" s="8" t="s">
        <v>606</v>
      </c>
      <c r="L95" s="12" t="s">
        <v>265</v>
      </c>
      <c r="M95" s="8" t="s">
        <v>607</v>
      </c>
      <c r="N95" s="15" t="s">
        <v>608</v>
      </c>
      <c r="O95" s="8" t="s">
        <v>609</v>
      </c>
      <c r="P95" s="8" t="n">
        <f aca="false">IFERROR(VLOOKUP($A95,BOM!$A$2:$E$54,5,0),0)</f>
        <v>1</v>
      </c>
      <c r="Q95" s="8" t="n">
        <f aca="false">CEILING($P95*Assumptions!$B$4/$D95,1)</f>
        <v>1</v>
      </c>
      <c r="R95" s="8" t="n">
        <f aca="false">CEILING($P95*Assumptions!$B$5/$D95,1)</f>
        <v>10</v>
      </c>
      <c r="S95" s="8" t="n">
        <f aca="false">CEILING($P95*Assumptions!$B$6/$D95,1)</f>
        <v>100</v>
      </c>
      <c r="T95" s="7" t="n">
        <f aca="false">IF(ISNUMBER($E95),IF(AND(ISNUMBER($I95),ISNUMBER($H95)),IF($H95&lt;=$Q95,$I95,IF(AND(ISNUMBER($G95),ISNUMBER($F95)),IF($F95&lt;=$Q95,$G95,$E95),$E95)),IF(AND(ISNUMBER($G95),ISNUMBER($F95)),IF($F95&lt;=$Q95,$G95,$E95),$E95))*(1+IF($J95="Y",0,Assumptions!$B$3)),"")</f>
        <v>10.197</v>
      </c>
      <c r="U95" s="7" t="n">
        <f aca="false">IF(ISNUMBER($E95),IF(AND(ISNUMBER($I95),ISNUMBER($H95)),IF($H95&lt;=$R95,$I95,IF(AND(ISNUMBER($G95),ISNUMBER($F95)),IF($F95&lt;=$R95,$G95,$E95),$E95)),IF(AND(ISNUMBER($G95),ISNUMBER($F95)),IF($F95&lt;=$R95,$G95,$E95),$E95))*(1+IF($J95="Y",0,Assumptions!$B$3)),"")</f>
        <v>9.889</v>
      </c>
      <c r="V95" s="7" t="n">
        <f aca="false">IF(ISNUMBER($E95),IF(AND(ISNUMBER($I95),ISNUMBER($H95)),IF($H95&lt;=$S95,$I95,IF(AND(ISNUMBER($G95),ISNUMBER($F95)),IF($F95&lt;=$S95,$G95,$E95),$E95)),IF(AND(ISNUMBER($G95),ISNUMBER($F95)),IF($F95&lt;=$S95,$G95,$E95),$E95))*(1+IF($J95="Y",0,Assumptions!$B$3)),"")</f>
        <v>9.691</v>
      </c>
      <c r="W95" s="7" t="n">
        <f aca="false">IF(ISNUMBER($T95),$Q95*$T95/Assumptions!$B$4,"")</f>
        <v>10.197</v>
      </c>
      <c r="X95" s="7" t="n">
        <f aca="false">IF(ISNUMBER($U95),$R95*$U95/Assumptions!$B$5,"")</f>
        <v>9.889</v>
      </c>
      <c r="Y95" s="7" t="n">
        <f aca="false">IF(ISNUMBER($V95),$S95*$V95/Assumptions!$B$6,"")</f>
        <v>9.691</v>
      </c>
      <c r="Z95" s="8" t="str">
        <f aca="false">$A95&amp;"|"&amp;IF(ISNUMBER($W95),TEXT($W95,"0.0000"),"x")&amp;"|"&amp;$L95</f>
        <v>W02|10.1970|Y</v>
      </c>
      <c r="AA95" s="8" t="str">
        <f aca="false">$A95&amp;"|"&amp;IF(ISNUMBER($Y95),TEXT($Y95,"0.0000"),"x")&amp;"|"&amp;$L95</f>
        <v>W02|9.6910|Y</v>
      </c>
    </row>
    <row r="96" customFormat="false" ht="15" hidden="false" customHeight="false" outlineLevel="0" collapsed="false">
      <c r="A96" s="8" t="s">
        <v>215</v>
      </c>
      <c r="B96" s="8" t="s">
        <v>610</v>
      </c>
      <c r="C96" s="8" t="s">
        <v>611</v>
      </c>
      <c r="D96" s="12" t="n">
        <v>30</v>
      </c>
      <c r="E96" s="14" t="n">
        <v>89.39</v>
      </c>
      <c r="F96" s="12" t="n">
        <v>50</v>
      </c>
      <c r="G96" s="14" t="n">
        <v>88.29</v>
      </c>
      <c r="H96" s="12" t="n">
        <v>250</v>
      </c>
      <c r="I96" s="14" t="n">
        <v>72.69</v>
      </c>
      <c r="J96" s="12" t="s">
        <v>263</v>
      </c>
      <c r="K96" s="8" t="s">
        <v>612</v>
      </c>
      <c r="L96" s="12" t="s">
        <v>265</v>
      </c>
      <c r="M96" s="8" t="s">
        <v>607</v>
      </c>
      <c r="N96" s="15" t="s">
        <v>613</v>
      </c>
      <c r="O96" s="8" t="s">
        <v>614</v>
      </c>
      <c r="P96" s="8" t="n">
        <f aca="false">IFERROR(VLOOKUP($A96,BOM!$A$2:$E$54,5,0),0)</f>
        <v>5</v>
      </c>
      <c r="Q96" s="8" t="n">
        <f aca="false">CEILING($P96*Assumptions!$B$4/$D96,1)</f>
        <v>1</v>
      </c>
      <c r="R96" s="8" t="n">
        <f aca="false">CEILING($P96*Assumptions!$B$5/$D96,1)</f>
        <v>2</v>
      </c>
      <c r="S96" s="8" t="n">
        <f aca="false">CEILING($P96*Assumptions!$B$6/$D96,1)</f>
        <v>17</v>
      </c>
      <c r="T96" s="7" t="n">
        <f aca="false">IF(ISNUMBER($E96),IF(AND(ISNUMBER($I96),ISNUMBER($H96)),IF($H96&lt;=$Q96,$I96,IF(AND(ISNUMBER($G96),ISNUMBER($F96)),IF($F96&lt;=$Q96,$G96,$E96),$E96)),IF(AND(ISNUMBER($G96),ISNUMBER($F96)),IF($F96&lt;=$Q96,$G96,$E96),$E96))*(1+IF($J96="Y",0,Assumptions!$B$3)),"")</f>
        <v>98.329</v>
      </c>
      <c r="U96" s="7" t="n">
        <f aca="false">IF(ISNUMBER($E96),IF(AND(ISNUMBER($I96),ISNUMBER($H96)),IF($H96&lt;=$R96,$I96,IF(AND(ISNUMBER($G96),ISNUMBER($F96)),IF($F96&lt;=$R96,$G96,$E96),$E96)),IF(AND(ISNUMBER($G96),ISNUMBER($F96)),IF($F96&lt;=$R96,$G96,$E96),$E96))*(1+IF($J96="Y",0,Assumptions!$B$3)),"")</f>
        <v>98.329</v>
      </c>
      <c r="V96" s="7" t="n">
        <f aca="false">IF(ISNUMBER($E96),IF(AND(ISNUMBER($I96),ISNUMBER($H96)),IF($H96&lt;=$S96,$I96,IF(AND(ISNUMBER($G96),ISNUMBER($F96)),IF($F96&lt;=$S96,$G96,$E96),$E96)),IF(AND(ISNUMBER($G96),ISNUMBER($F96)),IF($F96&lt;=$S96,$G96,$E96),$E96))*(1+IF($J96="Y",0,Assumptions!$B$3)),"")</f>
        <v>98.329</v>
      </c>
      <c r="W96" s="7" t="n">
        <f aca="false">IF(ISNUMBER($T96),$Q96*$T96/Assumptions!$B$4,"")</f>
        <v>98.329</v>
      </c>
      <c r="X96" s="7" t="n">
        <f aca="false">IF(ISNUMBER($U96),$R96*$U96/Assumptions!$B$5,"")</f>
        <v>19.6658</v>
      </c>
      <c r="Y96" s="7" t="n">
        <f aca="false">IF(ISNUMBER($V96),$S96*$V96/Assumptions!$B$6,"")</f>
        <v>16.71593</v>
      </c>
      <c r="Z96" s="8" t="str">
        <f aca="false">$A96&amp;"|"&amp;IF(ISNUMBER($W96),TEXT($W96,"0.0000"),"x")&amp;"|"&amp;$L96</f>
        <v>W03|98.3290|Y</v>
      </c>
      <c r="AA96" s="8" t="str">
        <f aca="false">$A96&amp;"|"&amp;IF(ISNUMBER($Y96),TEXT($Y96,"0.0000"),"x")&amp;"|"&amp;$L96</f>
        <v>W03|16.7159|Y</v>
      </c>
    </row>
    <row r="97" customFormat="false" ht="15" hidden="false" customHeight="false" outlineLevel="0" collapsed="false">
      <c r="A97" s="8" t="s">
        <v>219</v>
      </c>
      <c r="B97" s="8" t="s">
        <v>284</v>
      </c>
      <c r="C97" s="8" t="s">
        <v>615</v>
      </c>
      <c r="D97" s="12" t="n">
        <v>1</v>
      </c>
      <c r="E97" s="14" t="n">
        <v>7.59</v>
      </c>
      <c r="F97" s="12" t="n">
        <v>10</v>
      </c>
      <c r="G97" s="14" t="n">
        <v>7.36</v>
      </c>
      <c r="H97" s="12" t="n">
        <v>50</v>
      </c>
      <c r="I97" s="14" t="n">
        <v>7.21</v>
      </c>
      <c r="J97" s="12" t="s">
        <v>263</v>
      </c>
      <c r="K97" s="8" t="s">
        <v>616</v>
      </c>
      <c r="L97" s="12" t="s">
        <v>265</v>
      </c>
      <c r="M97" s="8" t="s">
        <v>607</v>
      </c>
      <c r="N97" s="15" t="s">
        <v>617</v>
      </c>
      <c r="O97" s="8" t="s">
        <v>618</v>
      </c>
      <c r="P97" s="8" t="n">
        <f aca="false">IFERROR(VLOOKUP($A97,BOM!$A$2:$E$54,5,0),0)</f>
        <v>2</v>
      </c>
      <c r="Q97" s="8" t="n">
        <f aca="false">CEILING($P97*Assumptions!$B$4/$D97,1)</f>
        <v>2</v>
      </c>
      <c r="R97" s="8" t="n">
        <f aca="false">CEILING($P97*Assumptions!$B$5/$D97,1)</f>
        <v>20</v>
      </c>
      <c r="S97" s="8" t="n">
        <f aca="false">CEILING($P97*Assumptions!$B$6/$D97,1)</f>
        <v>200</v>
      </c>
      <c r="T97" s="7" t="n">
        <f aca="false">IF(ISNUMBER($E97),IF(AND(ISNUMBER($I97),ISNUMBER($H97)),IF($H97&lt;=$Q97,$I97,IF(AND(ISNUMBER($G97),ISNUMBER($F97)),IF($F97&lt;=$Q97,$G97,$E97),$E97)),IF(AND(ISNUMBER($G97),ISNUMBER($F97)),IF($F97&lt;=$Q97,$G97,$E97),$E97))*(1+IF($J97="Y",0,Assumptions!$B$3)),"")</f>
        <v>8.349</v>
      </c>
      <c r="U97" s="7" t="n">
        <f aca="false">IF(ISNUMBER($E97),IF(AND(ISNUMBER($I97),ISNUMBER($H97)),IF($H97&lt;=$R97,$I97,IF(AND(ISNUMBER($G97),ISNUMBER($F97)),IF($F97&lt;=$R97,$G97,$E97),$E97)),IF(AND(ISNUMBER($G97),ISNUMBER($F97)),IF($F97&lt;=$R97,$G97,$E97),$E97))*(1+IF($J97="Y",0,Assumptions!$B$3)),"")</f>
        <v>8.096</v>
      </c>
      <c r="V97" s="7" t="n">
        <f aca="false">IF(ISNUMBER($E97),IF(AND(ISNUMBER($I97),ISNUMBER($H97)),IF($H97&lt;=$S97,$I97,IF(AND(ISNUMBER($G97),ISNUMBER($F97)),IF($F97&lt;=$S97,$G97,$E97),$E97)),IF(AND(ISNUMBER($G97),ISNUMBER($F97)),IF($F97&lt;=$S97,$G97,$E97),$E97))*(1+IF($J97="Y",0,Assumptions!$B$3)),"")</f>
        <v>7.931</v>
      </c>
      <c r="W97" s="7" t="n">
        <f aca="false">IF(ISNUMBER($T97),$Q97*$T97/Assumptions!$B$4,"")</f>
        <v>16.698</v>
      </c>
      <c r="X97" s="7" t="n">
        <f aca="false">IF(ISNUMBER($U97),$R97*$U97/Assumptions!$B$5,"")</f>
        <v>16.192</v>
      </c>
      <c r="Y97" s="7" t="n">
        <f aca="false">IF(ISNUMBER($V97),$S97*$V97/Assumptions!$B$6,"")</f>
        <v>15.862</v>
      </c>
      <c r="Z97" s="8" t="str">
        <f aca="false">$A97&amp;"|"&amp;IF(ISNUMBER($W97),TEXT($W97,"0.0000"),"x")&amp;"|"&amp;$L97</f>
        <v>W04|16.6980|Y</v>
      </c>
      <c r="AA97" s="8" t="str">
        <f aca="false">$A97&amp;"|"&amp;IF(ISNUMBER($Y97),TEXT($Y97,"0.0000"),"x")&amp;"|"&amp;$L97</f>
        <v>W04|15.8620|Y</v>
      </c>
    </row>
    <row r="98" customFormat="false" ht="15" hidden="false" customHeight="false" outlineLevel="0" collapsed="false">
      <c r="A98" s="8" t="s">
        <v>222</v>
      </c>
      <c r="B98" s="8" t="s">
        <v>284</v>
      </c>
      <c r="C98" s="8" t="s">
        <v>619</v>
      </c>
      <c r="D98" s="12" t="n">
        <v>1</v>
      </c>
      <c r="E98" s="14" t="n">
        <v>4.91</v>
      </c>
      <c r="F98" s="12" t="n">
        <v>10</v>
      </c>
      <c r="G98" s="14" t="n">
        <v>4.76</v>
      </c>
      <c r="H98" s="12" t="n">
        <v>50</v>
      </c>
      <c r="I98" s="14" t="n">
        <v>4.66</v>
      </c>
      <c r="J98" s="12" t="s">
        <v>263</v>
      </c>
      <c r="K98" s="8" t="s">
        <v>620</v>
      </c>
      <c r="L98" s="12" t="s">
        <v>265</v>
      </c>
      <c r="M98" s="8" t="s">
        <v>266</v>
      </c>
      <c r="N98" s="15" t="s">
        <v>621</v>
      </c>
      <c r="O98" s="8" t="s">
        <v>622</v>
      </c>
      <c r="P98" s="8" t="n">
        <f aca="false">IFERROR(VLOOKUP($A98,BOM!$A$2:$E$54,5,0),0)</f>
        <v>1</v>
      </c>
      <c r="Q98" s="8" t="n">
        <f aca="false">CEILING($P98*Assumptions!$B$4/$D98,1)</f>
        <v>1</v>
      </c>
      <c r="R98" s="8" t="n">
        <f aca="false">CEILING($P98*Assumptions!$B$5/$D98,1)</f>
        <v>10</v>
      </c>
      <c r="S98" s="8" t="n">
        <f aca="false">CEILING($P98*Assumptions!$B$6/$D98,1)</f>
        <v>100</v>
      </c>
      <c r="T98" s="7" t="n">
        <f aca="false">IF(ISNUMBER($E98),IF(AND(ISNUMBER($I98),ISNUMBER($H98)),IF($H98&lt;=$Q98,$I98,IF(AND(ISNUMBER($G98),ISNUMBER($F98)),IF($F98&lt;=$Q98,$G98,$E98),$E98)),IF(AND(ISNUMBER($G98),ISNUMBER($F98)),IF($F98&lt;=$Q98,$G98,$E98),$E98))*(1+IF($J98="Y",0,Assumptions!$B$3)),"")</f>
        <v>5.401</v>
      </c>
      <c r="U98" s="7" t="n">
        <f aca="false">IF(ISNUMBER($E98),IF(AND(ISNUMBER($I98),ISNUMBER($H98)),IF($H98&lt;=$R98,$I98,IF(AND(ISNUMBER($G98),ISNUMBER($F98)),IF($F98&lt;=$R98,$G98,$E98),$E98)),IF(AND(ISNUMBER($G98),ISNUMBER($F98)),IF($F98&lt;=$R98,$G98,$E98),$E98))*(1+IF($J98="Y",0,Assumptions!$B$3)),"")</f>
        <v>5.236</v>
      </c>
      <c r="V98" s="7" t="n">
        <f aca="false">IF(ISNUMBER($E98),IF(AND(ISNUMBER($I98),ISNUMBER($H98)),IF($H98&lt;=$S98,$I98,IF(AND(ISNUMBER($G98),ISNUMBER($F98)),IF($F98&lt;=$S98,$G98,$E98),$E98)),IF(AND(ISNUMBER($G98),ISNUMBER($F98)),IF($F98&lt;=$S98,$G98,$E98),$E98))*(1+IF($J98="Y",0,Assumptions!$B$3)),"")</f>
        <v>5.126</v>
      </c>
      <c r="W98" s="7" t="n">
        <f aca="false">IF(ISNUMBER($T98),$Q98*$T98/Assumptions!$B$4,"")</f>
        <v>5.401</v>
      </c>
      <c r="X98" s="7" t="n">
        <f aca="false">IF(ISNUMBER($U98),$R98*$U98/Assumptions!$B$5,"")</f>
        <v>5.236</v>
      </c>
      <c r="Y98" s="7" t="n">
        <f aca="false">IF(ISNUMBER($V98),$S98*$V98/Assumptions!$B$6,"")</f>
        <v>5.126</v>
      </c>
      <c r="Z98" s="8" t="str">
        <f aca="false">$A98&amp;"|"&amp;IF(ISNUMBER($W98),TEXT($W98,"0.0000"),"x")&amp;"|"&amp;$L98</f>
        <v>PS02|5.4010|Y</v>
      </c>
      <c r="AA98" s="8" t="str">
        <f aca="false">$A98&amp;"|"&amp;IF(ISNUMBER($Y98),TEXT($Y98,"0.0000"),"x")&amp;"|"&amp;$L98</f>
        <v>PS02|5.1260|Y</v>
      </c>
    </row>
    <row r="99" customFormat="false" ht="15" hidden="false" customHeight="false" outlineLevel="0" collapsed="false">
      <c r="A99" s="8" t="s">
        <v>225</v>
      </c>
      <c r="B99" s="8" t="s">
        <v>610</v>
      </c>
      <c r="C99" s="8" t="s">
        <v>623</v>
      </c>
      <c r="D99" s="12" t="n">
        <v>10</v>
      </c>
      <c r="E99" s="14" t="n">
        <v>5.54</v>
      </c>
      <c r="F99" s="12"/>
      <c r="G99" s="14"/>
      <c r="H99" s="12" t="n">
        <v>150</v>
      </c>
      <c r="I99" s="14" t="n">
        <v>5.49</v>
      </c>
      <c r="J99" s="12" t="s">
        <v>263</v>
      </c>
      <c r="K99" s="8" t="s">
        <v>624</v>
      </c>
      <c r="L99" s="12" t="s">
        <v>265</v>
      </c>
      <c r="M99" s="8" t="s">
        <v>35</v>
      </c>
      <c r="N99" s="15" t="s">
        <v>625</v>
      </c>
      <c r="O99" s="8" t="s">
        <v>626</v>
      </c>
      <c r="P99" s="8" t="n">
        <f aca="false">IFERROR(VLOOKUP($A99,BOM!$A$2:$E$54,5,0),0)</f>
        <v>1</v>
      </c>
      <c r="Q99" s="8" t="n">
        <f aca="false">CEILING($P99*Assumptions!$B$4/$D99,1)</f>
        <v>1</v>
      </c>
      <c r="R99" s="8" t="n">
        <f aca="false">CEILING($P99*Assumptions!$B$5/$D99,1)</f>
        <v>1</v>
      </c>
      <c r="S99" s="8" t="n">
        <f aca="false">CEILING($P99*Assumptions!$B$6/$D99,1)</f>
        <v>10</v>
      </c>
      <c r="T99" s="7" t="n">
        <f aca="false">IF(ISNUMBER($E99),IF(AND(ISNUMBER($I99),ISNUMBER($H99)),IF($H99&lt;=$Q99,$I99,IF(AND(ISNUMBER($G99),ISNUMBER($F99)),IF($F99&lt;=$Q99,$G99,$E99),$E99)),IF(AND(ISNUMBER($G99),ISNUMBER($F99)),IF($F99&lt;=$Q99,$G99,$E99),$E99))*(1+IF($J99="Y",0,Assumptions!$B$3)),"")</f>
        <v>6.094</v>
      </c>
      <c r="U99" s="7" t="n">
        <f aca="false">IF(ISNUMBER($E99),IF(AND(ISNUMBER($I99),ISNUMBER($H99)),IF($H99&lt;=$R99,$I99,IF(AND(ISNUMBER($G99),ISNUMBER($F99)),IF($F99&lt;=$R99,$G99,$E99),$E99)),IF(AND(ISNUMBER($G99),ISNUMBER($F99)),IF($F99&lt;=$R99,$G99,$E99),$E99))*(1+IF($J99="Y",0,Assumptions!$B$3)),"")</f>
        <v>6.094</v>
      </c>
      <c r="V99" s="7" t="n">
        <f aca="false">IF(ISNUMBER($E99),IF(AND(ISNUMBER($I99),ISNUMBER($H99)),IF($H99&lt;=$S99,$I99,IF(AND(ISNUMBER($G99),ISNUMBER($F99)),IF($F99&lt;=$S99,$G99,$E99),$E99)),IF(AND(ISNUMBER($G99),ISNUMBER($F99)),IF($F99&lt;=$S99,$G99,$E99),$E99))*(1+IF($J99="Y",0,Assumptions!$B$3)),"")</f>
        <v>6.094</v>
      </c>
      <c r="W99" s="7" t="n">
        <f aca="false">IF(ISNUMBER($T99),$Q99*$T99/Assumptions!$B$4,"")</f>
        <v>6.094</v>
      </c>
      <c r="X99" s="7" t="n">
        <f aca="false">IF(ISNUMBER($U99),$R99*$U99/Assumptions!$B$5,"")</f>
        <v>0.6094</v>
      </c>
      <c r="Y99" s="7" t="n">
        <f aca="false">IF(ISNUMBER($V99),$S99*$V99/Assumptions!$B$6,"")</f>
        <v>0.6094</v>
      </c>
      <c r="Z99" s="8" t="str">
        <f aca="false">$A99&amp;"|"&amp;IF(ISNUMBER($W99),TEXT($W99,"0.0000"),"x")&amp;"|"&amp;$L99</f>
        <v>F01|6.0940|Y</v>
      </c>
      <c r="AA99" s="8" t="str">
        <f aca="false">$A99&amp;"|"&amp;IF(ISNUMBER($Y99),TEXT($Y99,"0.0000"),"x")&amp;"|"&amp;$L99</f>
        <v>F01|0.6094|Y</v>
      </c>
    </row>
    <row r="100" customFormat="false" ht="15" hidden="false" customHeight="false" outlineLevel="0" collapsed="false">
      <c r="A100" s="8" t="s">
        <v>225</v>
      </c>
      <c r="B100" s="8" t="s">
        <v>292</v>
      </c>
      <c r="C100" s="8" t="s">
        <v>627</v>
      </c>
      <c r="D100" s="12" t="n">
        <v>1</v>
      </c>
      <c r="E100" s="14" t="n">
        <v>0.74</v>
      </c>
      <c r="F100" s="12" t="n">
        <v>10</v>
      </c>
      <c r="G100" s="14" t="n">
        <v>0.681</v>
      </c>
      <c r="H100" s="12" t="n">
        <v>100</v>
      </c>
      <c r="I100" s="14" t="n">
        <v>0.512</v>
      </c>
      <c r="J100" s="12" t="s">
        <v>263</v>
      </c>
      <c r="K100" s="8" t="s">
        <v>628</v>
      </c>
      <c r="L100" s="12" t="s">
        <v>265</v>
      </c>
      <c r="M100" s="8" t="s">
        <v>35</v>
      </c>
      <c r="N100" s="15" t="s">
        <v>629</v>
      </c>
      <c r="O100" s="8" t="s">
        <v>630</v>
      </c>
      <c r="P100" s="8" t="n">
        <f aca="false">IFERROR(VLOOKUP($A100,BOM!$A$2:$E$54,5,0),0)</f>
        <v>1</v>
      </c>
      <c r="Q100" s="8" t="n">
        <f aca="false">CEILING($P100*Assumptions!$B$4/$D100,1)</f>
        <v>1</v>
      </c>
      <c r="R100" s="8" t="n">
        <f aca="false">CEILING($P100*Assumptions!$B$5/$D100,1)</f>
        <v>10</v>
      </c>
      <c r="S100" s="8" t="n">
        <f aca="false">CEILING($P100*Assumptions!$B$6/$D100,1)</f>
        <v>100</v>
      </c>
      <c r="T100" s="7" t="n">
        <f aca="false">IF(ISNUMBER($E100),IF(AND(ISNUMBER($I100),ISNUMBER($H100)),IF($H100&lt;=$Q100,$I100,IF(AND(ISNUMBER($G100),ISNUMBER($F100)),IF($F100&lt;=$Q100,$G100,$E100),$E100)),IF(AND(ISNUMBER($G100),ISNUMBER($F100)),IF($F100&lt;=$Q100,$G100,$E100),$E100))*(1+IF($J100="Y",0,Assumptions!$B$3)),"")</f>
        <v>0.814</v>
      </c>
      <c r="U100" s="7" t="n">
        <f aca="false">IF(ISNUMBER($E100),IF(AND(ISNUMBER($I100),ISNUMBER($H100)),IF($H100&lt;=$R100,$I100,IF(AND(ISNUMBER($G100),ISNUMBER($F100)),IF($F100&lt;=$R100,$G100,$E100),$E100)),IF(AND(ISNUMBER($G100),ISNUMBER($F100)),IF($F100&lt;=$R100,$G100,$E100),$E100))*(1+IF($J100="Y",0,Assumptions!$B$3)),"")</f>
        <v>0.7491</v>
      </c>
      <c r="V100" s="7" t="n">
        <f aca="false">IF(ISNUMBER($E100),IF(AND(ISNUMBER($I100),ISNUMBER($H100)),IF($H100&lt;=$S100,$I100,IF(AND(ISNUMBER($G100),ISNUMBER($F100)),IF($F100&lt;=$S100,$G100,$E100),$E100)),IF(AND(ISNUMBER($G100),ISNUMBER($F100)),IF($F100&lt;=$S100,$G100,$E100),$E100))*(1+IF($J100="Y",0,Assumptions!$B$3)),"")</f>
        <v>0.5632</v>
      </c>
      <c r="W100" s="7" t="n">
        <f aca="false">IF(ISNUMBER($T100),$Q100*$T100/Assumptions!$B$4,"")</f>
        <v>0.814</v>
      </c>
      <c r="X100" s="7" t="n">
        <f aca="false">IF(ISNUMBER($U100),$R100*$U100/Assumptions!$B$5,"")</f>
        <v>0.7491</v>
      </c>
      <c r="Y100" s="7" t="n">
        <f aca="false">IF(ISNUMBER($V100),$S100*$V100/Assumptions!$B$6,"")</f>
        <v>0.5632</v>
      </c>
      <c r="Z100" s="8" t="str">
        <f aca="false">$A100&amp;"|"&amp;IF(ISNUMBER($W100),TEXT($W100,"0.0000"),"x")&amp;"|"&amp;$L100</f>
        <v>F01|0.8140|Y</v>
      </c>
      <c r="AA100" s="8" t="str">
        <f aca="false">$A100&amp;"|"&amp;IF(ISNUMBER($Y100),TEXT($Y100,"0.0000"),"x")&amp;"|"&amp;$L100</f>
        <v>F01|0.5632|Y</v>
      </c>
    </row>
    <row r="101" customFormat="false" ht="15" hidden="false" customHeight="false" outlineLevel="0" collapsed="false">
      <c r="A101" s="8" t="s">
        <v>228</v>
      </c>
      <c r="B101" s="8" t="s">
        <v>284</v>
      </c>
      <c r="C101" s="8" t="s">
        <v>631</v>
      </c>
      <c r="D101" s="12" t="n">
        <v>1</v>
      </c>
      <c r="E101" s="14" t="n">
        <v>11.9</v>
      </c>
      <c r="F101" s="12"/>
      <c r="G101" s="14"/>
      <c r="H101" s="12"/>
      <c r="I101" s="14"/>
      <c r="J101" s="12" t="s">
        <v>265</v>
      </c>
      <c r="K101" s="8" t="s">
        <v>632</v>
      </c>
      <c r="L101" s="12" t="s">
        <v>265</v>
      </c>
      <c r="M101" s="8" t="s">
        <v>266</v>
      </c>
      <c r="N101" s="15" t="s">
        <v>633</v>
      </c>
      <c r="O101" s="8" t="s">
        <v>634</v>
      </c>
      <c r="P101" s="8" t="n">
        <f aca="false">IFERROR(VLOOKUP($A101,BOM!$A$2:$E$54,5,0),0)</f>
        <v>1</v>
      </c>
      <c r="Q101" s="8" t="n">
        <f aca="false">CEILING($P101*Assumptions!$B$4/$D101,1)</f>
        <v>1</v>
      </c>
      <c r="R101" s="8" t="n">
        <f aca="false">CEILING($P101*Assumptions!$B$5/$D101,1)</f>
        <v>10</v>
      </c>
      <c r="S101" s="8" t="n">
        <f aca="false">CEILING($P101*Assumptions!$B$6/$D101,1)</f>
        <v>100</v>
      </c>
      <c r="T101" s="7" t="n">
        <f aca="false">IF(ISNUMBER($E101),IF(AND(ISNUMBER($I101),ISNUMBER($H101)),IF($H101&lt;=$Q101,$I101,IF(AND(ISNUMBER($G101),ISNUMBER($F101)),IF($F101&lt;=$Q101,$G101,$E101),$E101)),IF(AND(ISNUMBER($G101),ISNUMBER($F101)),IF($F101&lt;=$Q101,$G101,$E101),$E101))*(1+IF($J101="Y",0,Assumptions!$B$3)),"")</f>
        <v>11.9</v>
      </c>
      <c r="U101" s="7" t="n">
        <f aca="false">IF(ISNUMBER($E101),IF(AND(ISNUMBER($I101),ISNUMBER($H101)),IF($H101&lt;=$R101,$I101,IF(AND(ISNUMBER($G101),ISNUMBER($F101)),IF($F101&lt;=$R101,$G101,$E101),$E101)),IF(AND(ISNUMBER($G101),ISNUMBER($F101)),IF($F101&lt;=$R101,$G101,$E101),$E101))*(1+IF($J101="Y",0,Assumptions!$B$3)),"")</f>
        <v>11.9</v>
      </c>
      <c r="V101" s="7" t="n">
        <f aca="false">IF(ISNUMBER($E101),IF(AND(ISNUMBER($I101),ISNUMBER($H101)),IF($H101&lt;=$S101,$I101,IF(AND(ISNUMBER($G101),ISNUMBER($F101)),IF($F101&lt;=$S101,$G101,$E101),$E101)),IF(AND(ISNUMBER($G101),ISNUMBER($F101)),IF($F101&lt;=$S101,$G101,$E101),$E101))*(1+IF($J101="Y",0,Assumptions!$B$3)),"")</f>
        <v>11.9</v>
      </c>
      <c r="W101" s="7" t="n">
        <f aca="false">IF(ISNUMBER($T101),$Q101*$T101/Assumptions!$B$4,"")</f>
        <v>11.9</v>
      </c>
      <c r="X101" s="7" t="n">
        <f aca="false">IF(ISNUMBER($U101),$R101*$U101/Assumptions!$B$5,"")</f>
        <v>11.9</v>
      </c>
      <c r="Y101" s="7" t="n">
        <f aca="false">IF(ISNUMBER($V101),$S101*$V101/Assumptions!$B$6,"")</f>
        <v>11.9</v>
      </c>
      <c r="Z101" s="8" t="str">
        <f aca="false">$A101&amp;"|"&amp;IF(ISNUMBER($W101),TEXT($W101,"0.0000"),"x")&amp;"|"&amp;$L101</f>
        <v>PSU|11.9000|Y</v>
      </c>
      <c r="AA101" s="8" t="str">
        <f aca="false">$A101&amp;"|"&amp;IF(ISNUMBER($Y101),TEXT($Y101,"0.0000"),"x")&amp;"|"&amp;$L101</f>
        <v>PSU|11.9000|Y</v>
      </c>
    </row>
    <row r="102" customFormat="false" ht="15" hidden="false" customHeight="false" outlineLevel="0" collapsed="false">
      <c r="A102" s="8" t="s">
        <v>228</v>
      </c>
      <c r="B102" s="8" t="s">
        <v>261</v>
      </c>
      <c r="C102" s="8" t="s">
        <v>635</v>
      </c>
      <c r="D102" s="12" t="n">
        <v>1</v>
      </c>
      <c r="E102" s="14" t="n">
        <v>11.6</v>
      </c>
      <c r="F102" s="12"/>
      <c r="G102" s="14"/>
      <c r="H102" s="12"/>
      <c r="I102" s="14"/>
      <c r="J102" s="12" t="s">
        <v>263</v>
      </c>
      <c r="K102" s="8" t="s">
        <v>636</v>
      </c>
      <c r="L102" s="12" t="s">
        <v>265</v>
      </c>
      <c r="M102" s="8" t="s">
        <v>266</v>
      </c>
      <c r="N102" s="15" t="s">
        <v>637</v>
      </c>
      <c r="O102" s="8" t="s">
        <v>638</v>
      </c>
      <c r="P102" s="8" t="n">
        <f aca="false">IFERROR(VLOOKUP($A102,BOM!$A$2:$E$54,5,0),0)</f>
        <v>1</v>
      </c>
      <c r="Q102" s="8" t="n">
        <f aca="false">CEILING($P102*Assumptions!$B$4/$D102,1)</f>
        <v>1</v>
      </c>
      <c r="R102" s="8" t="n">
        <f aca="false">CEILING($P102*Assumptions!$B$5/$D102,1)</f>
        <v>10</v>
      </c>
      <c r="S102" s="8" t="n">
        <f aca="false">CEILING($P102*Assumptions!$B$6/$D102,1)</f>
        <v>100</v>
      </c>
      <c r="T102" s="7" t="n">
        <f aca="false">IF(ISNUMBER($E102),IF(AND(ISNUMBER($I102),ISNUMBER($H102)),IF($H102&lt;=$Q102,$I102,IF(AND(ISNUMBER($G102),ISNUMBER($F102)),IF($F102&lt;=$Q102,$G102,$E102),$E102)),IF(AND(ISNUMBER($G102),ISNUMBER($F102)),IF($F102&lt;=$Q102,$G102,$E102),$E102))*(1+IF($J102="Y",0,Assumptions!$B$3)),"")</f>
        <v>12.76</v>
      </c>
      <c r="U102" s="7" t="n">
        <f aca="false">IF(ISNUMBER($E102),IF(AND(ISNUMBER($I102),ISNUMBER($H102)),IF($H102&lt;=$R102,$I102,IF(AND(ISNUMBER($G102),ISNUMBER($F102)),IF($F102&lt;=$R102,$G102,$E102),$E102)),IF(AND(ISNUMBER($G102),ISNUMBER($F102)),IF($F102&lt;=$R102,$G102,$E102),$E102))*(1+IF($J102="Y",0,Assumptions!$B$3)),"")</f>
        <v>12.76</v>
      </c>
      <c r="V102" s="7" t="n">
        <f aca="false">IF(ISNUMBER($E102),IF(AND(ISNUMBER($I102),ISNUMBER($H102)),IF($H102&lt;=$S102,$I102,IF(AND(ISNUMBER($G102),ISNUMBER($F102)),IF($F102&lt;=$S102,$G102,$E102),$E102)),IF(AND(ISNUMBER($G102),ISNUMBER($F102)),IF($F102&lt;=$S102,$G102,$E102),$E102))*(1+IF($J102="Y",0,Assumptions!$B$3)),"")</f>
        <v>12.76</v>
      </c>
      <c r="W102" s="7" t="n">
        <f aca="false">IF(ISNUMBER($T102),$Q102*$T102/Assumptions!$B$4,"")</f>
        <v>12.76</v>
      </c>
      <c r="X102" s="7" t="n">
        <f aca="false">IF(ISNUMBER($U102),$R102*$U102/Assumptions!$B$5,"")</f>
        <v>12.76</v>
      </c>
      <c r="Y102" s="7" t="n">
        <f aca="false">IF(ISNUMBER($V102),$S102*$V102/Assumptions!$B$6,"")</f>
        <v>12.76</v>
      </c>
      <c r="Z102" s="8" t="str">
        <f aca="false">$A102&amp;"|"&amp;IF(ISNUMBER($W102),TEXT($W102,"0.0000"),"x")&amp;"|"&amp;$L102</f>
        <v>PSU|12.7600|Y</v>
      </c>
      <c r="AA102" s="8" t="str">
        <f aca="false">$A102&amp;"|"&amp;IF(ISNUMBER($Y102),TEXT($Y102,"0.0000"),"x")&amp;"|"&amp;$L102</f>
        <v>PSU|12.7600|Y</v>
      </c>
    </row>
    <row r="103" customFormat="false" ht="15" hidden="false" customHeight="false" outlineLevel="0" collapsed="false">
      <c r="A103" s="8" t="s">
        <v>231</v>
      </c>
      <c r="B103" s="8" t="s">
        <v>284</v>
      </c>
      <c r="C103" s="8" t="s">
        <v>639</v>
      </c>
      <c r="D103" s="12" t="n">
        <v>1</v>
      </c>
      <c r="E103" s="14" t="n">
        <v>5.95</v>
      </c>
      <c r="F103" s="12" t="n">
        <v>10</v>
      </c>
      <c r="G103" s="14" t="n">
        <v>5.36</v>
      </c>
      <c r="H103" s="12" t="n">
        <v>50</v>
      </c>
      <c r="I103" s="14" t="n">
        <v>5.06</v>
      </c>
      <c r="J103" s="12" t="s">
        <v>263</v>
      </c>
      <c r="K103" s="8" t="s">
        <v>640</v>
      </c>
      <c r="L103" s="12" t="s">
        <v>265</v>
      </c>
      <c r="M103" s="8" t="s">
        <v>35</v>
      </c>
      <c r="N103" s="15" t="s">
        <v>641</v>
      </c>
      <c r="O103" s="8" t="s">
        <v>642</v>
      </c>
      <c r="P103" s="8" t="n">
        <f aca="false">IFERROR(VLOOKUP($A103,BOM!$A$2:$E$54,5,0),0)</f>
        <v>1</v>
      </c>
      <c r="Q103" s="8" t="n">
        <f aca="false">CEILING($P103*Assumptions!$B$4/$D103,1)</f>
        <v>1</v>
      </c>
      <c r="R103" s="8" t="n">
        <f aca="false">CEILING($P103*Assumptions!$B$5/$D103,1)</f>
        <v>10</v>
      </c>
      <c r="S103" s="8" t="n">
        <f aca="false">CEILING($P103*Assumptions!$B$6/$D103,1)</f>
        <v>100</v>
      </c>
      <c r="T103" s="7" t="n">
        <f aca="false">IF(ISNUMBER($E103),IF(AND(ISNUMBER($I103),ISNUMBER($H103)),IF($H103&lt;=$Q103,$I103,IF(AND(ISNUMBER($G103),ISNUMBER($F103)),IF($F103&lt;=$Q103,$G103,$E103),$E103)),IF(AND(ISNUMBER($G103),ISNUMBER($F103)),IF($F103&lt;=$Q103,$G103,$E103),$E103))*(1+IF($J103="Y",0,Assumptions!$B$3)),"")</f>
        <v>6.545</v>
      </c>
      <c r="U103" s="7" t="n">
        <f aca="false">IF(ISNUMBER($E103),IF(AND(ISNUMBER($I103),ISNUMBER($H103)),IF($H103&lt;=$R103,$I103,IF(AND(ISNUMBER($G103),ISNUMBER($F103)),IF($F103&lt;=$R103,$G103,$E103),$E103)),IF(AND(ISNUMBER($G103),ISNUMBER($F103)),IF($F103&lt;=$R103,$G103,$E103),$E103))*(1+IF($J103="Y",0,Assumptions!$B$3)),"")</f>
        <v>5.896</v>
      </c>
      <c r="V103" s="7" t="n">
        <f aca="false">IF(ISNUMBER($E103),IF(AND(ISNUMBER($I103),ISNUMBER($H103)),IF($H103&lt;=$S103,$I103,IF(AND(ISNUMBER($G103),ISNUMBER($F103)),IF($F103&lt;=$S103,$G103,$E103),$E103)),IF(AND(ISNUMBER($G103),ISNUMBER($F103)),IF($F103&lt;=$S103,$G103,$E103),$E103))*(1+IF($J103="Y",0,Assumptions!$B$3)),"")</f>
        <v>5.566</v>
      </c>
      <c r="W103" s="7" t="n">
        <f aca="false">IF(ISNUMBER($T103),$Q103*$T103/Assumptions!$B$4,"")</f>
        <v>6.545</v>
      </c>
      <c r="X103" s="7" t="n">
        <f aca="false">IF(ISNUMBER($U103),$R103*$U103/Assumptions!$B$5,"")</f>
        <v>5.896</v>
      </c>
      <c r="Y103" s="7" t="n">
        <f aca="false">IF(ISNUMBER($V103),$S103*$V103/Assumptions!$B$6,"")</f>
        <v>5.566</v>
      </c>
      <c r="Z103" s="8" t="str">
        <f aca="false">$A103&amp;"|"&amp;IF(ISNUMBER($W103),TEXT($W103,"0.0000"),"x")&amp;"|"&amp;$L103</f>
        <v>PG01|6.5450|Y</v>
      </c>
      <c r="AA103" s="8" t="str">
        <f aca="false">$A103&amp;"|"&amp;IF(ISNUMBER($Y103),TEXT($Y103,"0.0000"),"x")&amp;"|"&amp;$L103</f>
        <v>PG01|5.5660|Y</v>
      </c>
    </row>
    <row r="104" customFormat="false" ht="15" hidden="false" customHeight="false" outlineLevel="0" collapsed="false">
      <c r="A104" s="8" t="s">
        <v>231</v>
      </c>
      <c r="B104" s="8" t="s">
        <v>514</v>
      </c>
      <c r="C104" s="8" t="s">
        <v>643</v>
      </c>
      <c r="D104" s="12" t="n">
        <v>1</v>
      </c>
      <c r="E104" s="14" t="n">
        <v>47.95</v>
      </c>
      <c r="F104" s="12" t="n">
        <v>6</v>
      </c>
      <c r="G104" s="14" t="n">
        <v>37.95</v>
      </c>
      <c r="H104" s="12"/>
      <c r="I104" s="14"/>
      <c r="J104" s="12" t="s">
        <v>265</v>
      </c>
      <c r="K104" s="8" t="s">
        <v>516</v>
      </c>
      <c r="L104" s="12" t="s">
        <v>265</v>
      </c>
      <c r="M104" s="8" t="s">
        <v>35</v>
      </c>
      <c r="N104" s="15" t="s">
        <v>644</v>
      </c>
      <c r="O104" s="8" t="s">
        <v>645</v>
      </c>
      <c r="P104" s="8" t="n">
        <f aca="false">IFERROR(VLOOKUP($A104,BOM!$A$2:$E$54,5,0),0)</f>
        <v>1</v>
      </c>
      <c r="Q104" s="8" t="n">
        <f aca="false">CEILING($P104*Assumptions!$B$4/$D104,1)</f>
        <v>1</v>
      </c>
      <c r="R104" s="8" t="n">
        <f aca="false">CEILING($P104*Assumptions!$B$5/$D104,1)</f>
        <v>10</v>
      </c>
      <c r="S104" s="8" t="n">
        <f aca="false">CEILING($P104*Assumptions!$B$6/$D104,1)</f>
        <v>100</v>
      </c>
      <c r="T104" s="7" t="n">
        <f aca="false">IF(ISNUMBER($E104),IF(AND(ISNUMBER($I104),ISNUMBER($H104)),IF($H104&lt;=$Q104,$I104,IF(AND(ISNUMBER($G104),ISNUMBER($F104)),IF($F104&lt;=$Q104,$G104,$E104),$E104)),IF(AND(ISNUMBER($G104),ISNUMBER($F104)),IF($F104&lt;=$Q104,$G104,$E104),$E104))*(1+IF($J104="Y",0,Assumptions!$B$3)),"")</f>
        <v>47.95</v>
      </c>
      <c r="U104" s="7" t="n">
        <f aca="false">IF(ISNUMBER($E104),IF(AND(ISNUMBER($I104),ISNUMBER($H104)),IF($H104&lt;=$R104,$I104,IF(AND(ISNUMBER($G104),ISNUMBER($F104)),IF($F104&lt;=$R104,$G104,$E104),$E104)),IF(AND(ISNUMBER($G104),ISNUMBER($F104)),IF($F104&lt;=$R104,$G104,$E104),$E104))*(1+IF($J104="Y",0,Assumptions!$B$3)),"")</f>
        <v>37.95</v>
      </c>
      <c r="V104" s="7" t="n">
        <f aca="false">IF(ISNUMBER($E104),IF(AND(ISNUMBER($I104),ISNUMBER($H104)),IF($H104&lt;=$S104,$I104,IF(AND(ISNUMBER($G104),ISNUMBER($F104)),IF($F104&lt;=$S104,$G104,$E104),$E104)),IF(AND(ISNUMBER($G104),ISNUMBER($F104)),IF($F104&lt;=$S104,$G104,$E104),$E104))*(1+IF($J104="Y",0,Assumptions!$B$3)),"")</f>
        <v>37.95</v>
      </c>
      <c r="W104" s="7" t="n">
        <f aca="false">IF(ISNUMBER($T104),$Q104*$T104/Assumptions!$B$4,"")</f>
        <v>47.95</v>
      </c>
      <c r="X104" s="7" t="n">
        <f aca="false">IF(ISNUMBER($U104),$R104*$U104/Assumptions!$B$5,"")</f>
        <v>37.95</v>
      </c>
      <c r="Y104" s="7" t="n">
        <f aca="false">IF(ISNUMBER($V104),$S104*$V104/Assumptions!$B$6,"")</f>
        <v>37.95</v>
      </c>
      <c r="Z104" s="8" t="str">
        <f aca="false">$A104&amp;"|"&amp;IF(ISNUMBER($W104),TEXT($W104,"0.0000"),"x")&amp;"|"&amp;$L104</f>
        <v>PG01|47.9500|Y</v>
      </c>
      <c r="AA104" s="8" t="str">
        <f aca="false">$A104&amp;"|"&amp;IF(ISNUMBER($Y104),TEXT($Y104,"0.0000"),"x")&amp;"|"&amp;$L104</f>
        <v>PG01|37.9500|Y</v>
      </c>
    </row>
    <row r="105" customFormat="false" ht="15" hidden="false" customHeight="false" outlineLevel="0" collapsed="false">
      <c r="A105" s="8" t="s">
        <v>234</v>
      </c>
      <c r="B105" s="8" t="s">
        <v>284</v>
      </c>
      <c r="C105" s="8" t="s">
        <v>646</v>
      </c>
      <c r="D105" s="12" t="n">
        <v>1</v>
      </c>
      <c r="E105" s="14" t="n">
        <v>1.8</v>
      </c>
      <c r="F105" s="12"/>
      <c r="G105" s="14"/>
      <c r="H105" s="12"/>
      <c r="I105" s="14"/>
      <c r="J105" s="12" t="s">
        <v>265</v>
      </c>
      <c r="K105" s="8" t="s">
        <v>647</v>
      </c>
      <c r="L105" s="12" t="s">
        <v>265</v>
      </c>
      <c r="M105" s="8" t="s">
        <v>35</v>
      </c>
      <c r="N105" s="15" t="s">
        <v>648</v>
      </c>
      <c r="O105" s="8" t="s">
        <v>649</v>
      </c>
      <c r="P105" s="8" t="n">
        <f aca="false">IFERROR(VLOOKUP($A105,BOM!$A$2:$E$54,5,0),0)</f>
        <v>2</v>
      </c>
      <c r="Q105" s="8" t="n">
        <f aca="false">CEILING($P105*Assumptions!$B$4/$D105,1)</f>
        <v>2</v>
      </c>
      <c r="R105" s="8" t="n">
        <f aca="false">CEILING($P105*Assumptions!$B$5/$D105,1)</f>
        <v>20</v>
      </c>
      <c r="S105" s="8" t="n">
        <f aca="false">CEILING($P105*Assumptions!$B$6/$D105,1)</f>
        <v>200</v>
      </c>
      <c r="T105" s="7" t="n">
        <f aca="false">IF(ISNUMBER($E105),IF(AND(ISNUMBER($I105),ISNUMBER($H105)),IF($H105&lt;=$Q105,$I105,IF(AND(ISNUMBER($G105),ISNUMBER($F105)),IF($F105&lt;=$Q105,$G105,$E105),$E105)),IF(AND(ISNUMBER($G105),ISNUMBER($F105)),IF($F105&lt;=$Q105,$G105,$E105),$E105))*(1+IF($J105="Y",0,Assumptions!$B$3)),"")</f>
        <v>1.8</v>
      </c>
      <c r="U105" s="7" t="n">
        <f aca="false">IF(ISNUMBER($E105),IF(AND(ISNUMBER($I105),ISNUMBER($H105)),IF($H105&lt;=$R105,$I105,IF(AND(ISNUMBER($G105),ISNUMBER($F105)),IF($F105&lt;=$R105,$G105,$E105),$E105)),IF(AND(ISNUMBER($G105),ISNUMBER($F105)),IF($F105&lt;=$R105,$G105,$E105),$E105))*(1+IF($J105="Y",0,Assumptions!$B$3)),"")</f>
        <v>1.8</v>
      </c>
      <c r="V105" s="7" t="n">
        <f aca="false">IF(ISNUMBER($E105),IF(AND(ISNUMBER($I105),ISNUMBER($H105)),IF($H105&lt;=$S105,$I105,IF(AND(ISNUMBER($G105),ISNUMBER($F105)),IF($F105&lt;=$S105,$G105,$E105),$E105)),IF(AND(ISNUMBER($G105),ISNUMBER($F105)),IF($F105&lt;=$S105,$G105,$E105),$E105))*(1+IF($J105="Y",0,Assumptions!$B$3)),"")</f>
        <v>1.8</v>
      </c>
      <c r="W105" s="7" t="n">
        <f aca="false">IF(ISNUMBER($T105),$Q105*$T105/Assumptions!$B$4,"")</f>
        <v>3.6</v>
      </c>
      <c r="X105" s="7" t="n">
        <f aca="false">IF(ISNUMBER($U105),$R105*$U105/Assumptions!$B$5,"")</f>
        <v>3.6</v>
      </c>
      <c r="Y105" s="7" t="n">
        <f aca="false">IF(ISNUMBER($V105),$S105*$V105/Assumptions!$B$6,"")</f>
        <v>3.6</v>
      </c>
      <c r="Z105" s="8" t="str">
        <f aca="false">$A105&amp;"|"&amp;IF(ISNUMBER($W105),TEXT($W105,"0.0000"),"x")&amp;"|"&amp;$L105</f>
        <v>PG02|3.6000|Y</v>
      </c>
      <c r="AA105" s="8" t="str">
        <f aca="false">$A105&amp;"|"&amp;IF(ISNUMBER($Y105),TEXT($Y105,"0.0000"),"x")&amp;"|"&amp;$L105</f>
        <v>PG02|3.6000|Y</v>
      </c>
    </row>
    <row r="106" customFormat="false" ht="15" hidden="false" customHeight="false" outlineLevel="0" collapsed="false">
      <c r="A106" s="8" t="s">
        <v>234</v>
      </c>
      <c r="B106" s="8" t="s">
        <v>261</v>
      </c>
      <c r="C106" s="8" t="s">
        <v>650</v>
      </c>
      <c r="D106" s="12" t="n">
        <v>1</v>
      </c>
      <c r="E106" s="14" t="n">
        <v>2.84</v>
      </c>
      <c r="F106" s="12" t="n">
        <v>10</v>
      </c>
      <c r="G106" s="14" t="n">
        <v>2.09</v>
      </c>
      <c r="H106" s="12" t="n">
        <v>100</v>
      </c>
      <c r="I106" s="14" t="n">
        <v>1.68</v>
      </c>
      <c r="J106" s="12" t="s">
        <v>263</v>
      </c>
      <c r="K106" s="8" t="s">
        <v>651</v>
      </c>
      <c r="L106" s="12" t="s">
        <v>265</v>
      </c>
      <c r="M106" s="8" t="s">
        <v>35</v>
      </c>
      <c r="N106" s="15" t="s">
        <v>652</v>
      </c>
      <c r="O106" s="8" t="s">
        <v>393</v>
      </c>
      <c r="P106" s="8" t="n">
        <f aca="false">IFERROR(VLOOKUP($A106,BOM!$A$2:$E$54,5,0),0)</f>
        <v>2</v>
      </c>
      <c r="Q106" s="8" t="n">
        <f aca="false">CEILING($P106*Assumptions!$B$4/$D106,1)</f>
        <v>2</v>
      </c>
      <c r="R106" s="8" t="n">
        <f aca="false">CEILING($P106*Assumptions!$B$5/$D106,1)</f>
        <v>20</v>
      </c>
      <c r="S106" s="8" t="n">
        <f aca="false">CEILING($P106*Assumptions!$B$6/$D106,1)</f>
        <v>200</v>
      </c>
      <c r="T106" s="7" t="n">
        <f aca="false">IF(ISNUMBER($E106),IF(AND(ISNUMBER($I106),ISNUMBER($H106)),IF($H106&lt;=$Q106,$I106,IF(AND(ISNUMBER($G106),ISNUMBER($F106)),IF($F106&lt;=$Q106,$G106,$E106),$E106)),IF(AND(ISNUMBER($G106),ISNUMBER($F106)),IF($F106&lt;=$Q106,$G106,$E106),$E106))*(1+IF($J106="Y",0,Assumptions!$B$3)),"")</f>
        <v>3.124</v>
      </c>
      <c r="U106" s="7" t="n">
        <f aca="false">IF(ISNUMBER($E106),IF(AND(ISNUMBER($I106),ISNUMBER($H106)),IF($H106&lt;=$R106,$I106,IF(AND(ISNUMBER($G106),ISNUMBER($F106)),IF($F106&lt;=$R106,$G106,$E106),$E106)),IF(AND(ISNUMBER($G106),ISNUMBER($F106)),IF($F106&lt;=$R106,$G106,$E106),$E106))*(1+IF($J106="Y",0,Assumptions!$B$3)),"")</f>
        <v>2.299</v>
      </c>
      <c r="V106" s="7" t="n">
        <f aca="false">IF(ISNUMBER($E106),IF(AND(ISNUMBER($I106),ISNUMBER($H106)),IF($H106&lt;=$S106,$I106,IF(AND(ISNUMBER($G106),ISNUMBER($F106)),IF($F106&lt;=$S106,$G106,$E106),$E106)),IF(AND(ISNUMBER($G106),ISNUMBER($F106)),IF($F106&lt;=$S106,$G106,$E106),$E106))*(1+IF($J106="Y",0,Assumptions!$B$3)),"")</f>
        <v>1.848</v>
      </c>
      <c r="W106" s="7" t="n">
        <f aca="false">IF(ISNUMBER($T106),$Q106*$T106/Assumptions!$B$4,"")</f>
        <v>6.248</v>
      </c>
      <c r="X106" s="7" t="n">
        <f aca="false">IF(ISNUMBER($U106),$R106*$U106/Assumptions!$B$5,"")</f>
        <v>4.598</v>
      </c>
      <c r="Y106" s="7" t="n">
        <f aca="false">IF(ISNUMBER($V106),$S106*$V106/Assumptions!$B$6,"")</f>
        <v>3.696</v>
      </c>
      <c r="Z106" s="8" t="str">
        <f aca="false">$A106&amp;"|"&amp;IF(ISNUMBER($W106),TEXT($W106,"0.0000"),"x")&amp;"|"&amp;$L106</f>
        <v>PG02|6.2480|Y</v>
      </c>
      <c r="AA106" s="8" t="str">
        <f aca="false">$A106&amp;"|"&amp;IF(ISNUMBER($Y106),TEXT($Y106,"0.0000"),"x")&amp;"|"&amp;$L106</f>
        <v>PG02|3.6960|Y</v>
      </c>
    </row>
  </sheetData>
  <autoFilter ref="A1:AA106"/>
  <hyperlinks>
    <hyperlink ref="N2" r:id="rId1" display="https://au.mouser.com/c/?q=CD74HCT00E"/>
    <hyperlink ref="N3" r:id="rId2" display="https://www.wiltronics.com.au/product/317/74hct00-quad-2-input-nand-gate-4/"/>
    <hyperlink ref="N4" r:id="rId3" display="https://au.mouser.com/c/?q=CD74HCT02E"/>
    <hyperlink ref="N5" r:id="rId4" display="https://www.wiltronics.com.au/product/3759/74hct02-quad-2-input-positive-nor-gate/"/>
    <hyperlink ref="N6" r:id="rId5" display="https://au.mouser.com/c/?q=CD74HCT04E"/>
    <hyperlink ref="N7" r:id="rId6" display="https://www.wiltronics.com.au/product/320/74hct04-hex-inverter-3/"/>
    <hyperlink ref="N8" r:id="rId7" display="https://core-electronics.com.au/74hct08-quad-2-input-and-gate.html"/>
    <hyperlink ref="N9" r:id="rId8" display="https://au.mouser.com/c/?q=CD74HCT08E"/>
    <hyperlink ref="N10" r:id="rId9" display="https://au.element14.com/w/search?st=SN74HCT08N"/>
    <hyperlink ref="N11" r:id="rId10" display="https://au.mouser.com/c/?q=CD74HCT32E"/>
    <hyperlink ref="N12" r:id="rId11" display="https://wiltronics.com.au/?p=335"/>
    <hyperlink ref="N13" r:id="rId12" display="https://au.element14.com/w/search?st=SN74HCT32N"/>
    <hyperlink ref="N14" r:id="rId13" display="https://au.mouser.com/c/?q=CD74HCT86E"/>
    <hyperlink ref="N15" r:id="rId14" display="https://au.element14.com/w/search?st=CD74HCT86E"/>
    <hyperlink ref="N16" r:id="rId15" display="https://au.mouser.com/ProductDetail/595-CD74HCT107E"/>
    <hyperlink ref="N17" r:id="rId16" display="https://au.element14.com/w/search?st=CD74HCT107E"/>
    <hyperlink ref="N18" r:id="rId17" display="https://au.mouser.com/c/?q=CD74HCT138E"/>
    <hyperlink ref="N19" r:id="rId18" display="https://www.wiltronics.com.au/product/321/74hct138-expandable-38-decoder-2/"/>
    <hyperlink ref="N20" r:id="rId19" display="https://au.mouser.com/c/?q=CD74HCT139E"/>
    <hyperlink ref="N21" r:id="rId20" display="https://au.element14.com/w/search?st=CD74HCT139E"/>
    <hyperlink ref="N22" r:id="rId21" display="https://au.mouser.com/c/?q=CD74HCT157E"/>
    <hyperlink ref="N23" r:id="rId22" display="https://au.element14.com/w/search?st=SN74HCT157N"/>
    <hyperlink ref="N24" r:id="rId23" display="https://au.mouser.com/c/?q=CD74HCT161E"/>
    <hyperlink ref="N25" r:id="rId24" display="https://au.element14.com/w/search?st=CD74HCT161E"/>
    <hyperlink ref="N26" r:id="rId25" display="https://au.mouser.com/c/?q=CD74HCT173E"/>
    <hyperlink ref="N27" r:id="rId26" display="https://www.wiltronics.com.au/product/329/74hct173-tri-state-quad-d-flipflop/"/>
    <hyperlink ref="N28" r:id="rId27" display="https://au.mouser.com/c/?q=CD74HCT174E"/>
    <hyperlink ref="N29" r:id="rId28" display="https://au.element14.com/w/search?st=CD74HCT174E"/>
    <hyperlink ref="N30" r:id="rId29" display="https://au.mouser.com/ProductDetail/595-CD74HCT245E"/>
    <hyperlink ref="N31" r:id="rId30" display="https://au.element14.com/w/search?st=SN74HCT245N"/>
    <hyperlink ref="N32" r:id="rId31" display="https://au.mouser.com/c/?q=74HCT283"/>
    <hyperlink ref="N33" r:id="rId32" display="https://au.mouser.com/ProductDetail/595-CD74HC283E"/>
    <hyperlink ref="N34" r:id="rId33" display="https://au.element14.com/w/search?st=CD74HC283E"/>
    <hyperlink ref="N35" r:id="rId34" display="https://au.mouser.com/c/?q=74HCT377"/>
    <hyperlink ref="N36" r:id="rId35" display="https://au.element14.com/w/search?st=CD74HCT377E"/>
    <hyperlink ref="N37" r:id="rId36" display="https://core-electronics.com.au/555-timer-general-purpose-timer-ic.html"/>
    <hyperlink ref="N38" r:id="rId37" display="https://au.mouser.com/en/ProductDetail/Texas-Instruments/NE555P?qs=rkhjVJ6%2F3EIf4CWgjIKuKQ%3D%3D"/>
    <hyperlink ref="N39" r:id="rId38" display="https://au.mouser.com/ProductDetail/913-AS6C62256-55PCN"/>
    <hyperlink ref="N40" r:id="rId39" display="https://au.element14.com/alliance-memory-inc/as6c62256-55pcn/sram-256kbit-0-to-70deg-c-dip/dp/4260906"/>
    <hyperlink ref="N41" r:id="rId40" display="https://au.mouser.com/ProductDetail/556-AT28C25615PU"/>
    <hyperlink ref="N42" r:id="rId41" display="https://au.element14.com/microchip/at28c256-15pu/parallel-eeprom-256kbit-dip-28/dp/1095782"/>
    <hyperlink ref="N43" r:id="rId42" display="https://au.mouser.com/c/?q=2N3906"/>
    <hyperlink ref="N44" r:id="rId43" display="https://au.element14.com/w/search?st=2N3906BU"/>
    <hyperlink ref="N45" r:id="rId44" display="https://au.mouser.com/c/?q=SA56-11EWA"/>
    <hyperlink ref="N46" r:id="rId45" display="https://au.element14.com/w/search?st=SA56-11EWA"/>
    <hyperlink ref="N47" r:id="rId46" display="https://core-electronics.com.au/led-basic-red-3mm.html"/>
    <hyperlink ref="N48" r:id="rId47" display="https://au.element14.com/multicomp-pro/703-0090/led-3mm-red-100mcd-643nm/dp/2112100"/>
    <hyperlink ref="N49" r:id="rId48" display="https://core-electronics.com.au/led-basic-green-3mm.html"/>
    <hyperlink ref="N50" r:id="rId49" display="https://au.element14.com/multicomp/703-0087/led-green-3mm-572nm-standard/dp/2112096"/>
    <hyperlink ref="N51" r:id="rId50" display="https://core-electronics.com.au/led-basic-yellow-3mm.html"/>
    <hyperlink ref="N52" r:id="rId51" display="https://au.element14.com/multicomp-pro/703-0088/led-3mm-yellow-50mcd-590nm/dp/2112098"/>
    <hyperlink ref="N53" r:id="rId52" display="https://core-electronics.com.au/diffused-blue-3mm-led-25-pack.html"/>
    <hyperlink ref="N54" r:id="rId53" display="https://au.mouser.com/c/?q=WP710A10QBC"/>
    <hyperlink ref="N55" r:id="rId54" display="https://core-electronics.com.au/through-hole-resistors-1-0k-ohm-5-1-4w-pack-of-25.html"/>
    <hyperlink ref="N56" r:id="rId55" display="https://au.element14.com/multicomp-pro/mcf-0-25w-1k/res-1k-5-250mw-axial-carbon-film/dp/9339051"/>
    <hyperlink ref="N57" r:id="rId56" display="https://au.mouser.com/c/?q=MFR-25FBF52-2K2"/>
    <hyperlink ref="N58" r:id="rId57" display="https://au.element14.com/w/search?st=MFR-25FBF52-2K2"/>
    <hyperlink ref="N59" r:id="rId58" display="https://core-electronics.com.au/resistor-10k-ohm-025-watt-pth.html"/>
    <hyperlink ref="N60" r:id="rId59" display="https://au.element14.com/multicomp-pro/mcf-0-25w-10k/res-10k-5-250mw-axial-carbon-film/dp/9339060"/>
    <hyperlink ref="N61" r:id="rId60" display="https://au.mouser.com/c/?q=MFR-25FBF52-100K"/>
    <hyperlink ref="N62" r:id="rId61" display="https://au.element14.com/w/search?st=MFR-25FBF52-100K"/>
    <hyperlink ref="N63" r:id="rId62" display="https://au.mouser.com/c/?q=MFR-25FBF52-470R"/>
    <hyperlink ref="N64" r:id="rId63" display="https://au.element14.com/w/search?st=MFR-25FTE52-470R"/>
    <hyperlink ref="N65" r:id="rId64" display="https://au.mouser.com/c/?q=4609X-101-103LF"/>
    <hyperlink ref="N66" r:id="rId65" display="https://au.element14.com/w/search?st=4609X-101-103LF"/>
    <hyperlink ref="N67" r:id="rId66" display="https://au.mouser.com/c/?q=4605X-101-103LF"/>
    <hyperlink ref="N68" r:id="rId67" display="https://au.element14.com/w/search?st=4605X-101-103LF"/>
    <hyperlink ref="N69" r:id="rId68" display="https://core-electronics.com.au/100nf-ceramic-disc-capacitor.html"/>
    <hyperlink ref="N70" r:id="rId69" display="https://jaycar.com.au/p/RC5496"/>
    <hyperlink ref="N71" r:id="rId70" display="https://au.mouser.com/c/?q=K103K15X7RF5TL2"/>
    <hyperlink ref="N72" r:id="rId71" display="https://au.element14.com/w/search?st=K103K15X7RF5TL2"/>
    <hyperlink ref="N73" r:id="rId72" display="https://core-electronics.com.au/radial-capacitor-1uf.html"/>
    <hyperlink ref="N74" r:id="rId73" display="https://jaycar.com.au/p/RE6032"/>
    <hyperlink ref="N75" r:id="rId74" display="https://core-electronics.com.au/electrolytic-decoupling-capacitors-10uf-25v.html"/>
    <hyperlink ref="N76" r:id="rId75" display="https://jaycar.com.au/p/RE6066"/>
    <hyperlink ref="N77" r:id="rId76" display="https://core-electronics.com.au/radial-capacitor-100uf.html"/>
    <hyperlink ref="N78" r:id="rId77" display="https://jaycar.com.au/p/RE6130"/>
    <hyperlink ref="N79" r:id="rId78" display="https://www.altronics.com.au/search/all/?sr=R2230"/>
    <hyperlink ref="N80" r:id="rId79" display="https://jaycar.com.au/1m-ohm-linear-b-single-gang-16mm-potentiometer/p/RP7524"/>
    <hyperlink ref="N81" r:id="rId80" display="https://core-electronics.com.au/male-pin-header-2-54mm-1x40.html"/>
    <hyperlink ref="N82" r:id="rId81" display="https://au.mouser.com/ProductDetail/649-68000-103HLF"/>
    <hyperlink ref="N83" r:id="rId82" display="https://core-electronics.com.au/tactile-button-switch-6mm-x-20-pack.html"/>
    <hyperlink ref="N84" r:id="rId83" display="https://jaycar.com.au/p/SP0603"/>
    <hyperlink ref="N85" r:id="rId84" display="https://core-electronics.com.au/breadboard-friendly-spdt-slide-switch.html"/>
    <hyperlink ref="N86" r:id="rId85" display="https://jaycar.com.au/p/SS0834"/>
    <hyperlink ref="N87" r:id="rId86" display="https://core-electronics.com.au/dip-switch-8-position.html"/>
    <hyperlink ref="N88" r:id="rId87" display="https://jaycar.com.au/p/SM1024"/>
    <hyperlink ref="N89" r:id="rId88" display="https://jaycar.com.au/p/SM1020"/>
    <hyperlink ref="N90" r:id="rId89" display="https://www.wiltronics.com.au/product/3336/4-way-dil-switch/"/>
    <hyperlink ref="N91" r:id="rId90" display="https://core-electronics.com.au/solderless-breadboard-830-tie-point-zy-102.html"/>
    <hyperlink ref="N92" r:id="rId91" display="https://jaycar.com.au/p/PB8815"/>
    <hyperlink ref="N93" r:id="rId92" display="https://www.altronics.com.au/product/w2430-solid-core-05mm-6-colour-hobby-wire-pack"/>
    <hyperlink ref="N94" r:id="rId93" display="https://core-electronics.com.au/hook-up-wire-assortment-solid-core-22-awg.html"/>
    <hyperlink ref="N95" r:id="rId94" display="https://core-electronics.com.au/solid-core-wire-spool-25ft-22awg-orange.html"/>
    <hyperlink ref="N96" r:id="rId95" display="https://au.rs-online.com/web/p/hook-up-wire/8425387"/>
    <hyperlink ref="N97" r:id="rId96" display="https://core-electronics.com.au/solid-core-wire-spool-25ft-22awg-green.html"/>
    <hyperlink ref="N98" r:id="rId97" display="https://core-electronics.com.au/catalog/product/view/sku/ADA4090"/>
    <hyperlink ref="N99" r:id="rId98" display="https://au.rs-online.com/web/p/resettable-fuses/5176770"/>
    <hyperlink ref="N100" r:id="rId99" display="https://au.element14.com/littelfuse/rxef110/polyswitch-radial-1-1a/dp/1345960"/>
    <hyperlink ref="N101" r:id="rId100" display="https://core-electronics.com.au/raspberry-pi-4-official-power-supply-usb-c-5v-15w-white.html"/>
    <hyperlink ref="N102" r:id="rId101" display="https://au.mouser.com/c/?q=raspberry%20pi%2015W%20USB-C%20power%20supply%20AU"/>
    <hyperlink ref="N103" r:id="rId102" display="https://core-electronics.com.au/nano-v3-0-board.html"/>
    <hyperlink ref="N104" r:id="rId103" display="https://jaycar.com.au/p/XC4414"/>
    <hyperlink ref="N105" r:id="rId104" display="https://core-electronics.com.au/shift-register-8-bit-sn74hc595.html"/>
    <hyperlink ref="N106" r:id="rId105" display="https://au.mouser.com/en/ProductDetail/Texas-Instruments/SN74HC595N?qs=IEl3ej0IqwBTHkYa8XPoMQ%3D%3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6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70"/>
  </cols>
  <sheetData>
    <row r="1" customFormat="false" ht="15" hidden="false" customHeight="false" outlineLevel="0" collapsed="false">
      <c r="A1" s="3" t="s">
        <v>653</v>
      </c>
      <c r="B1" s="3" t="s">
        <v>654</v>
      </c>
      <c r="C1" s="3" t="s">
        <v>655</v>
      </c>
    </row>
    <row r="2" customFormat="false" ht="39.55" hidden="false" customHeight="false" outlineLevel="0" collapsed="false">
      <c r="A2" s="20" t="s">
        <v>656</v>
      </c>
      <c r="B2" s="20" t="s">
        <v>657</v>
      </c>
      <c r="C2" s="20" t="s">
        <v>658</v>
      </c>
    </row>
    <row r="3" customFormat="false" ht="26.85" hidden="false" customHeight="false" outlineLevel="0" collapsed="false">
      <c r="A3" s="20" t="s">
        <v>659</v>
      </c>
      <c r="B3" s="20" t="s">
        <v>660</v>
      </c>
      <c r="C3" s="20" t="s">
        <v>661</v>
      </c>
    </row>
    <row r="4" customFormat="false" ht="26.85" hidden="false" customHeight="false" outlineLevel="0" collapsed="false">
      <c r="A4" s="20" t="s">
        <v>662</v>
      </c>
      <c r="B4" s="20" t="s">
        <v>663</v>
      </c>
      <c r="C4" s="20" t="s">
        <v>664</v>
      </c>
    </row>
    <row r="5" customFormat="false" ht="26.85" hidden="false" customHeight="false" outlineLevel="0" collapsed="false">
      <c r="A5" s="20" t="s">
        <v>665</v>
      </c>
      <c r="B5" s="20" t="s">
        <v>666</v>
      </c>
      <c r="C5" s="20" t="s">
        <v>667</v>
      </c>
    </row>
    <row r="6" customFormat="false" ht="15" hidden="false" customHeight="false" outlineLevel="0" collapsed="false">
      <c r="A6" s="20" t="s">
        <v>668</v>
      </c>
      <c r="B6" s="20" t="s">
        <v>669</v>
      </c>
      <c r="C6" s="20" t="s">
        <v>670</v>
      </c>
    </row>
    <row r="7" customFormat="false" ht="26.85" hidden="false" customHeight="false" outlineLevel="0" collapsed="false">
      <c r="A7" s="20" t="s">
        <v>671</v>
      </c>
      <c r="B7" s="20" t="s">
        <v>672</v>
      </c>
      <c r="C7" s="20" t="s">
        <v>673</v>
      </c>
    </row>
    <row r="8" customFormat="false" ht="26.85" hidden="false" customHeight="false" outlineLevel="0" collapsed="false">
      <c r="A8" s="20" t="s">
        <v>674</v>
      </c>
      <c r="B8" s="20" t="s">
        <v>675</v>
      </c>
      <c r="C8" s="20" t="s">
        <v>676</v>
      </c>
    </row>
    <row r="9" customFormat="false" ht="90.25" hidden="false" customHeight="false" outlineLevel="0" collapsed="false">
      <c r="A9" s="20" t="s">
        <v>677</v>
      </c>
      <c r="B9" s="20" t="s">
        <v>678</v>
      </c>
      <c r="C9" s="20" t="s">
        <v>679</v>
      </c>
    </row>
    <row r="10" customFormat="false" ht="52.2" hidden="false" customHeight="false" outlineLevel="0" collapsed="false">
      <c r="A10" s="20" t="s">
        <v>680</v>
      </c>
      <c r="B10" s="20" t="s">
        <v>681</v>
      </c>
      <c r="C10" s="20" t="s">
        <v>682</v>
      </c>
    </row>
    <row r="11" customFormat="false" ht="39.55" hidden="false" customHeight="false" outlineLevel="0" collapsed="false">
      <c r="A11" s="20" t="s">
        <v>683</v>
      </c>
      <c r="B11" s="20" t="s">
        <v>684</v>
      </c>
      <c r="C11" s="20" t="s">
        <v>685</v>
      </c>
    </row>
    <row r="12" customFormat="false" ht="15" hidden="false" customHeight="false" outlineLevel="0" collapsed="false">
      <c r="A12" s="20" t="s">
        <v>686</v>
      </c>
      <c r="B12" s="20" t="s">
        <v>687</v>
      </c>
      <c r="C12" s="20" t="s">
        <v>688</v>
      </c>
    </row>
    <row r="13" customFormat="false" ht="39.55" hidden="false" customHeight="false" outlineLevel="0" collapsed="false">
      <c r="A13" s="20" t="s">
        <v>689</v>
      </c>
      <c r="B13" s="20" t="s">
        <v>690</v>
      </c>
      <c r="C13" s="20" t="s">
        <v>691</v>
      </c>
    </row>
    <row r="14" customFormat="false" ht="39.55" hidden="false" customHeight="false" outlineLevel="0" collapsed="false">
      <c r="A14" s="20" t="s">
        <v>692</v>
      </c>
      <c r="B14" s="20" t="s">
        <v>693</v>
      </c>
      <c r="C14" s="20" t="s">
        <v>694</v>
      </c>
    </row>
    <row r="15" customFormat="false" ht="15" hidden="false" customHeight="false" outlineLevel="0" collapsed="false">
      <c r="A15" s="20" t="s">
        <v>695</v>
      </c>
      <c r="B15" s="20" t="s">
        <v>696</v>
      </c>
      <c r="C15" s="20" t="s">
        <v>697</v>
      </c>
    </row>
    <row r="16" customFormat="false" ht="26.85" hidden="false" customHeight="false" outlineLevel="0" collapsed="false">
      <c r="A16" s="20" t="s">
        <v>698</v>
      </c>
      <c r="B16" s="20" t="s">
        <v>699</v>
      </c>
      <c r="C16" s="20" t="s">
        <v>700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2026-10-29T20:34:25Z</dcterms:created>
  <dc:creator>openpyxl</dc:creator>
  <dc:description/>
  <dc:language>en-US</dc:language>
  <cp:lastModifiedBy/>
  <dcterms:modified xsi:type="dcterms:W3CDTF">2026-10-29T20:34:25Z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